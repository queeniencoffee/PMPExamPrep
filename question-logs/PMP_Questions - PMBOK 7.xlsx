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zer\Downloads\"/>
    </mc:Choice>
  </mc:AlternateContent>
  <xr:revisionPtr revIDLastSave="0" documentId="8_{6810A094-865E-45DB-9D21-F736551E8666}" xr6:coauthVersionLast="47" xr6:coauthVersionMax="47" xr10:uidLastSave="{00000000-0000-0000-0000-000000000000}"/>
  <bookViews>
    <workbookView xWindow="-110" yWindow="-110" windowWidth="29020" windowHeight="17500" activeTab="1" xr2:uid="{00000000-000D-0000-FFFF-FFFF00000000}"/>
  </bookViews>
  <sheets>
    <sheet name="Content" sheetId="8" r:id="rId1"/>
    <sheet name="PMI Infinity" sheetId="4" r:id="rId2"/>
    <sheet name="David PMP QA" sheetId="1" r:id="rId3"/>
    <sheet name="PMI Study Hall" sheetId="5" r:id="rId4"/>
    <sheet name="PMI Study Hall Practice Exam" sheetId="6" r:id="rId5"/>
    <sheet name="Sheet1" sheetId="7" r:id="rId6"/>
    <sheet name="Notes"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5" i="5" l="1"/>
  <c r="M16" i="5"/>
  <c r="M17" i="5"/>
  <c r="M18" i="5"/>
  <c r="M19" i="5"/>
  <c r="M20" i="5"/>
  <c r="M21" i="5"/>
  <c r="M22" i="5"/>
  <c r="M23" i="5"/>
  <c r="M24" i="5"/>
  <c r="M25" i="5"/>
  <c r="M26" i="5"/>
  <c r="M27" i="5"/>
  <c r="M28" i="5"/>
  <c r="M29" i="5"/>
  <c r="M30" i="5"/>
  <c r="M31" i="5"/>
  <c r="M32" i="5"/>
  <c r="M33" i="5"/>
  <c r="M34" i="5"/>
  <c r="M35" i="5"/>
  <c r="K7" i="7"/>
  <c r="H7" i="7"/>
  <c r="J7" i="7" s="1"/>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18" i="6"/>
  <c r="L17" i="6"/>
  <c r="L16" i="6"/>
  <c r="L15" i="6"/>
  <c r="L14" i="6"/>
  <c r="L13" i="6"/>
  <c r="L12" i="6"/>
  <c r="L11" i="6"/>
  <c r="L10" i="6"/>
  <c r="L9" i="6"/>
  <c r="L8" i="6"/>
  <c r="L7" i="6"/>
  <c r="L6" i="6"/>
  <c r="L5" i="6"/>
  <c r="L4" i="6"/>
  <c r="L3" i="6"/>
  <c r="L2" i="6"/>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14" i="5"/>
  <c r="M13" i="5"/>
  <c r="M12" i="5"/>
  <c r="M11" i="5"/>
  <c r="M10" i="5"/>
  <c r="M9" i="5"/>
  <c r="M8" i="5"/>
  <c r="M7" i="5"/>
  <c r="M6" i="5"/>
  <c r="M5" i="5"/>
  <c r="M4" i="5"/>
  <c r="M3" i="5"/>
  <c r="M2" i="5"/>
  <c r="J176"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 i="4"/>
  <c r="J3" i="4"/>
  <c r="J2" i="4"/>
</calcChain>
</file>

<file path=xl/sharedStrings.xml><?xml version="1.0" encoding="utf-8"?>
<sst xmlns="http://schemas.openxmlformats.org/spreadsheetml/2006/main" count="2022" uniqueCount="974">
  <si>
    <t>Question</t>
  </si>
  <si>
    <t>Selections (Options)</t>
  </si>
  <si>
    <t>Answer</t>
  </si>
  <si>
    <t>Explanation</t>
  </si>
  <si>
    <t>A) Focus on the definition of success as defined by the project manager. B) Focus primarily on the individuals and interactions involved. C) Focus primarily on the scope of the project. D) Focus primarily on the schedule of the project.</t>
  </si>
  <si>
    <t>B</t>
  </si>
  <si>
    <t xml:space="preserve">Agile manifesto recommends focusing on individuals and interactions over processes and tools. Projects are run by people, products are developed by people for people to use, and interactions either make or break a project, which is why Agile is so powerful. </t>
  </si>
  <si>
    <t>A) Select a person from each part of the organization to assist to ensure diversity. B) Have the functional manager select their friends or their favorite team members. C) Encourage a self-organizing team to form including the people who asked for the requirements in the first place and the outcomes. D) Hire external consultants to run the project and create the product.</t>
  </si>
  <si>
    <t>C</t>
  </si>
  <si>
    <t>Agile encourages self-organizing teams composed of the people who created the requirements and had the desired outcome in the first place. This gives a higher level of ownership and product expertise.</t>
  </si>
  <si>
    <t xml:space="preserve">A) Negotiate the scope and costs of the project with the project sponsor. B) Walk through the three questions with the team (what did I do yesterday, what will I do today, and is there anything blocking me?). C) The development team demonstrates the working feature to the product owner who marks it as complete. D) The Product Owner shares the updated backlog and the team discusses it to ensure a shared understanding. </t>
  </si>
  <si>
    <t>D</t>
  </si>
  <si>
    <t>The Product Owner should share the updated backlog items and ensure the entire team has a really good shared understanding of what they will be working on over this sprint.</t>
  </si>
  <si>
    <t>A) Daily stand-ups. B) Unnecessary features. C) Sprint reviews. D) Testing.</t>
  </si>
  <si>
    <t xml:space="preserve">In addition to eliminating unnecessary features, value can be maximized by eliminating partially done work, delays, extra processes, task switching, waiting, moving information or a deliverable, defects or rework, and handoffs, all of which are considered waste. </t>
  </si>
  <si>
    <t>A) Hold a sprint retrospective with the team. B) Perform a backlog refinement with the product owner. C) Perform a story card elaboration with the three amigos. D) Holding a daily scrum.</t>
  </si>
  <si>
    <t>A</t>
  </si>
  <si>
    <t xml:space="preserve">A Sprint Retrospective is held with the whole team after the Sprint Review but before the next Sprint Planning meeting, to gather lessons learned and look for opportunities for improvement. </t>
  </si>
  <si>
    <t>A) When will the project end? and What do we do with the product? B) What does 'done' mean for the project? and How are we going to work together? C) How much risk is on the project? and What's the project scope? D) How many defects are allowed in the product? and How many testers are there?</t>
  </si>
  <si>
    <t xml:space="preserve">The agile team charter typically covers the vision, the 'why,' the team's way of work, What does 'done' look like?, and How are we going to work together? </t>
  </si>
  <si>
    <t xml:space="preserve">A) Earned Value Management (EVM) and the Schedule Performance Index (SPI). B) Variance Analysis and Estimate to Complete (ETC). C) Feature burn down chart, the features delivered, and customer satisfaction. D) Variance at Completion (VAC) and Cost Performance Index (CPI). </t>
  </si>
  <si>
    <t>Agile works with value delivered as its primary measurement. All the other options are predictive measurements from a traditional project management methodology.</t>
  </si>
  <si>
    <t>A) Discipline of the high-level model. B) Discipline in managing stakeholders expectations. C) Discipline in testing. D) Discipline in configuration management.</t>
  </si>
  <si>
    <t xml:space="preserve">Agile focuses on transparency to ensure the customer needs are met, not in specifically managing customer expectations. </t>
  </si>
  <si>
    <t>A) Project Management Plan and Project Charter. B) Scaled Agile Framework (SAFe) and Large-Scale Scrum (LeSS). C) Working group meetings and post-mortem project meetings. D) Flow charting and affinity diagrams.</t>
  </si>
  <si>
    <t xml:space="preserve">Agile and lean frameworks include Scaled Agile Framework (SAFe), Large-Scale Scrum (LeSS), Scrum of Scrums (SoS), Dynamic Systems Development Method (DSDM), along with more common Kanban, Extreme Programming (XP), and Scrum. </t>
  </si>
  <si>
    <t>A) Technologies change techniques. B) People change functions. C) Cultures change norms. D) Distances change communication.</t>
  </si>
  <si>
    <t xml:space="preserve">Crystal Clear describes the three core beliefs as technologies changing techniques, cultures changing norms, and distances changing communication. </t>
  </si>
  <si>
    <t>A) Estimate and refine the work items. B) Prioritize the work items. C) Add features to the product backlog. D) Identify fixes.</t>
  </si>
  <si>
    <t>The Product Owner adjusts the priority of the Product Backlog items; the team is responsible for estimating and refining those work items to figure out how much they can complete during a sprint.</t>
  </si>
  <si>
    <t>A) Kanban teams plan their work in sprints or iterations. B) There are no work in progress limits in Kanban. C) Kanban teams work on a project as a whole. D) Kanban teams employ a pull system.</t>
  </si>
  <si>
    <t xml:space="preserve">The main difference is that Kanban teams employ a pull system. If an item of work is completed, it triggers someone to pull the next item into the queue onto the board to work on. Kanban boards also limit the work in progress (WIP). </t>
  </si>
  <si>
    <t>A) He likes to work within set processes. B) He has been with the company for more than five years. C) He shows servant leadership and engages the team in team decisions. D) He sticks to the plan and he does not change.</t>
  </si>
  <si>
    <t xml:space="preserve">Jeremy shows the traits of servant leadership by engaging the team in team decisions, which is good practice. By communicating the reasons for his decisions, he is a suitable Scrum Master and will be less focused on command and control. </t>
  </si>
  <si>
    <t>A) Guess the number of defects and then change the subject. B) Tell the business partner you will send an email to him with the information. C) Take him to the team area where the information radiator with the project information is displayed. D) Ask the business partner to call the Scrum Master to get the correct answer.</t>
  </si>
  <si>
    <t xml:space="preserve">A core component of Agile is visual management and transparency. The information radiator (which can be physical or digital) displays project information like team velocity, the Kanban board, test results, and issues, allowing stakeholders to self-serve. </t>
  </si>
  <si>
    <t xml:space="preserve">A) The agile team works directly with a business owner or representative to constantly prioritize delivered value. B) The agile team delivers the product all in one go. C) The agile team is for developers only, so development will improve. D) The business partners review statuses and ask for recommendations. </t>
  </si>
  <si>
    <t xml:space="preserve">Working with the business partners or someone who represents the customer almost daily is a key part of Agile, allowing the team to constantly reshuffle and ensure they are delivering business value according to what the customer wants. </t>
  </si>
  <si>
    <t xml:space="preserve">A) The backlog is the ordered list of all of the work presented in story form for a team. B) The coach encourages the team to work alone so no one bothers them. C) The facilitator encourages the team to work in the triads of developer, tester, and product owner/business analyst (the 'three amigos'). D) The triad discuss, write, and then place enough stories into an iteration and enough features for a first release. </t>
  </si>
  <si>
    <t xml:space="preserve">Answers A, C, and D are correct descriptions of backlog preparation. Agile encourages continuous collaboration and teamwork, making option B incorrect. </t>
  </si>
  <si>
    <t xml:space="preserve">A) Make, buy, and do. B) Tell, show, and repeat. C) Find, create, and perform. D) Given, when, then. </t>
  </si>
  <si>
    <t xml:space="preserve">Given, when, then is the structure used for BDD, particularly when outlining user story cards for an iteration. It highlights: Given a certain situation, when something happens, then we want this to happen. </t>
  </si>
  <si>
    <t xml:space="preserve">A) Predictive, fixed requirements, performed once for the entire project, single big bang delivery. B) Predictive, variable requirements, performed once for the entire project, single big bang delivery. C) Iterative, fixed requirements, repeated until correct, multiple deliveries. D) Incremental, variable requirements, performed once for the entire project, multiple deliveries. </t>
  </si>
  <si>
    <t>A predictive or waterfall project management life cycle focuses on fixed requirements performed once for the project in a single delivery.</t>
  </si>
  <si>
    <t xml:space="preserve">A) Dynamic requirements, performed once for the entire project, single big bang delivery. B) Dynamic requirements, repeated until correct, single delivery. C) Dynamic requirements, repeated until correct, multiple deliveries. D) Fixed requirements, repeated until correct, multiple deliveries. </t>
  </si>
  <si>
    <t xml:space="preserve">Iterative methods have dynamic requirements that are ever-changing but they are repeated with feedback until they are correct, but they are delivered only once. </t>
  </si>
  <si>
    <t>A) Team values such as sustainable pace and core hours. B) Working agreements such as what 'ready' means and what 'done' means. C) Ground rules such as one person talking in a meeting. D) Schedule Performance Index (SPI) and Cost Performance Index (CPI) for the project.</t>
  </si>
  <si>
    <t xml:space="preserve">The agile team charter focuses on the vision, the 'why,' and the team's way of work. The SPI and CPI are Earned Value Management (EVM) metrics from a predictive project methodology (Waterfall) and are not part of a traditional agile team charter. </t>
  </si>
  <si>
    <t>A) Sprint Reviews demonstrate the work completed; Sprint Retrospectives look at all the work completed in the project.  B) Sprint Reviews discuss what is worked on; Sprint Retrospectives are done at the end of the project for a lesson learned opportunity.  C) Sprint Reviews review the lessons learned; Sprint Retrospectives look at the history of the product retrospectively.  D) Sprint Reviews are for product demonstrations; Sprint Retrospectives are for lessons learned.</t>
  </si>
  <si>
    <t xml:space="preserve">Sprint Reviews are for product demonstrations to the customer/business. Sprint Retrospectives are for lessons learned where the team asks what went well, what didn't go well, and what they learned to continuously improve the process. </t>
  </si>
  <si>
    <t>A) How long will the project last? B) What is the business value? C) How much is the budget? D) How many team members are there that will participate?</t>
  </si>
  <si>
    <t>Agile projects center around delivering business value and working closely with the customers and business representatives to ensure the value is always correct. This is the core driving force.</t>
  </si>
  <si>
    <t xml:space="preserve">A) The features should be prioritized, tested, and delivered incrementally. B) The features should be delivered quickly whether or not they're complete to gather feedback. C) The features should be delivered according to the project plan. D) All the features should be delivered at the end of the project. </t>
  </si>
  <si>
    <t xml:space="preserve">Agile is a combination of incremental delivery and iterative development. This means business value is continuously improved and delivered in increments that are complete, tested, and high-quality. </t>
  </si>
  <si>
    <t>A) Follow the project plan developed early in the project. B) Follow the Project Management Office who's already determined how the project should progress. C) Ask the Product Owner who continuously prioritizes the backlog. D) Ask the project coach or team leader to determine the next iteration.</t>
  </si>
  <si>
    <t xml:space="preserve">The Product Owner represents the customer and is responsible for continuously prioritizing the backlog of features, ensuring the team is always working on the highest value items. </t>
  </si>
  <si>
    <t>A) Tell the team to work overtime in order to deliver the project. B) Stand by your team and tell the customers the project will not be delivered on time. C) Be sure the customers understand that lower priority features may drop off the project completely. D) Agree with the customers to have all new items put into a separate category that will be completed if time allows.</t>
  </si>
  <si>
    <t xml:space="preserve">An agile project can accept changes even late in development. While the competing constraints of cost, quality, and schedule are often fixed in agile, the scope can vary (Scope is flexible). This means some features may need to drop off and others become prioritized above them. A sustainable pace must be maintained, so overworking the team is not the solution. </t>
  </si>
  <si>
    <t xml:space="preserve">A) Fixed requirements, activities performed once, in multiple deliveries. B) Dynamic requirements, repeated until correct, in one large delivery. C) Dynamic requirements, repeated until correct, in multiple deliveries. D) Fixed requirements, activities performed once, in one large delivery. </t>
  </si>
  <si>
    <t>Incremental methods have fixed requirements that are built piece by piece, with activities performed once, resulting in multiple deliveries of functional product subsets. (Note: The provided transcript is cut off before fully analyzing this answer, but it starts with 'fixed requirements activities performed...'  and the iterative question confirms the difference).</t>
  </si>
  <si>
    <t>You have been assigned to a new project, where the work is behind schedule and the team are not working together well. The team is relatively new, and conflicts are arising. Team members are blaming each other for work not done, and some people are not showing up to work on the project at all. What will you do next?</t>
  </si>
  <si>
    <t>A. Meet with the functional manager to agree on the team members’ time requirements. B. Meet with your team to set a team charter and define roles &amp; responsibilities. C. Meet with the project sponsor to gain additional funding for resources who can work together. D. Escalate the issue to the steering committee as soon as possible as a project risk.</t>
  </si>
  <si>
    <t>The Standard for Project Management asks that we create a collaborative team environment, including team agreements, definitions of roles &amp; responsibilities, formal committees tasked with specific objectives, and standing meetings that regularly review a given topic.(PMBOK Guide) – Seventh Edition, 2021, p28, p29, “Create a Collaborative Team Environment”</t>
  </si>
  <si>
    <t>You have recently completed a project for a new product and have been asked to manage it after its release to keep it relevant in today’s marketplace. Half of your existing project team are rolling off to other projects soon, and your project budget is nearly depleted. What will you do next?</t>
  </si>
  <si>
    <t>A. Create a business case and project charter for your project sponsor to approve.
B. Retain as many of your current project staff to continue work on the product.
C. Raise a change request for your current project to add scope and continue making changes.
D. Secure funding for a stable team, then use current research to form a suite of projects to improve the product.</t>
  </si>
  <si>
    <t>This question is referring to product management. Product management involves the integration of people, data, processes and business systems to develop or maintain a product or service throughout its lifecycle. (PMBOK Guide) – Seventh Edition, 2021, p17–19, “Product Management Considerations”</t>
  </si>
  <si>
    <t>You are delivering a critical change and several key stakeholders in your organisation have added seemingly unnecessary steps for you to take, with extra approvals, reports and meetings. They are also restricting the people you need from working on your project in a larger capacity. What will you do next?</t>
  </si>
  <si>
    <t>A. Go directly to the people you need to avoid extra back-and-forth with the stakeholders.
B. Raise a risk in the risk register on the lack of access to sufficient resources.
C. Communicate more often with the stakeholders and gain a deeper awareness of their ideas and situation.
D. Show your stakeholders the Resource Assignment Matrix and project roles &amp; responsibilities.</t>
  </si>
  <si>
    <t>This question refers to the principle of Effectively Engaging with Stakeholders. Stakeholders may add steps or requirements, or restrict team members if not engaged appropriately. Communication and awareness of their ideas, through knowledge sharing and regular meetings (ideally face to face) help.
(PMBOK Guide) – Seventh Edition, 2021, p32, 33, “Effectively Engage with Stakeholders.”</t>
  </si>
  <si>
    <t>You are managing a project team mostly made up of men. Recently Jane was hired for her high expertise in the brands that make up your industry. You notice she has been left out of some key meetings, and others are overlooking her opinions. You also notice she is paid significantly less than her male colleagues. What will you do next?</t>
  </si>
  <si>
    <t>A. Make steps to update her pay to the same range as the others on your project, and ask her opinion and advice specifically during each meeting (along with others in your team).
B. Take the lower pay as a win for your project, as it will help keep costs low and her colleagues don’t need to know.
C. Ask Jane to write down her knowledge of the industry, just in case she leaves.
D. No need to rock the boat – this is just how people work in this industry.</t>
  </si>
  <si>
    <t>This question is on Integrity and Stewardship. We should have respectful engagement of project team members, including their compensation, access to opportunity and fair treatment.
(PMBOK Guide) – Seventh Edition, 2021, p25, “Be a diligent, respectful and caring steward”.</t>
  </si>
  <si>
    <t>During one of your working group meetings, a stakeholder raises the concern that the product you are working on will be discontinued in the next five months. You were not aware of this, and your project budget has already been approved until the scheduled delivery, which is in five months also. What will you do next?</t>
  </si>
  <si>
    <t>A. Keep the project going as it is – the discontinued product isn’t your responsibility.
B. Set a meeting with your project sponsor to share the information and a recommendation to terminate the project.
C. Change the scope of the project to meet a different product so your project can remain relevant.
D. Ask for additional funding to see if you can improve the product instead of discontinuing it.</t>
  </si>
  <si>
    <t>This question is about delivering value – the primary motivator for a project. If the project is no longer aligned with the business need or it seems unlikely to provide value, the organisation may choose to terminate the effort.
(PMBOK Guide) – Seventh Edition, 2021, p35, “Focus on Value”</t>
  </si>
  <si>
    <t>You have collected the requirements for your project and are creating the scope statement and work breakdown structure. During this process you notice some functionality in your database system that will help a different project you are aware of within your Project Management Office (PMO). What will you do next?</t>
  </si>
  <si>
    <t>A. Place the feature in the other project’s backlog, and ask them to prioritise it as soon as possible.
B. Raise the functionality in your risk register as a threat, with the response to “mitigate”.
C. Add the scope to your project and complete it as soon as possible.
D. Raise the functionality in your risk register as an opportunity with the response to “exploit”, and meet with the other project team and sponsor to discuss.</t>
  </si>
  <si>
    <t>Systems thinking involves taking a holistic view of how project parts interact with each other, and external systems. Projects operate within programs, and small systems affect larger ones. Finding a previously unknown opportunity, the next best step is to make it known and exploit the opportunity.
(PMBOK Guide) – Seventh Edition, 2021, p39, “Respond to System Interactions: Systems Thinking” p125, “Opportunities”</t>
  </si>
  <si>
    <t>You are working on a high profile project. Several high-ranking senior executives want to take the credit for this initiative, while limiting the impact to their own resources. This has led to several conflicts and a scope statement that is unclear, leading to a risk of project failure. What will you do next?</t>
  </si>
  <si>
    <t>A. Create a scope statement yourself to avoid further conflict.
B. Facilitate a discussion with the executives as a neutral third party, focusing on agreed project goals.
C. Limit your project resources to the executives until they can agree on a way forward.
D. Escalate the issue to the project steering committee and ask them to resolve the problem.</t>
  </si>
  <si>
    <t>Leadership is not the same as authority. When senior managers suffer conflict over priorities, neutral facilitation helps more than detailed recommendations. Leadership acumen involves focusing a team around agreed goals, generating consensus on the way forward, negotiating and resolving conflict, and more.
(PMBOK Guide) – Seventh Edition, 2021, p42, “Demonstrate leadership behaviours”.</t>
  </si>
  <si>
    <t>You are managing a project where the majority of the product has been planned up-front, but an external system is needed from a vendor in partial pieces where the requirements are unclear. Half of your stakeholders want to use a waterfall approach, and the other half are advocating for an Agile approach. What will you do next?</t>
  </si>
  <si>
    <t>A. Use an Agile methodology. The fixed scope is low risk, and you can capture changes using Agile.
B. Use a Waterfall methodology and ask the team to plan the uncertain scope better.
C. Proceed with a hybrid method to start, with pre-planned scope but Agile ceremonies that promote feedback.
D. Use a combination of Waterfall and Agile to capture all the requirements and keep stakeholders happy.</t>
  </si>
  <si>
    <t>Each project is unique, and success is based on adapting to the unique context of the project to determine the most appropriate methods. The tailoring approach is iterative in nature and refined during the project cycle. This project requires a hybrid of waterfall and agile, with the option to improve it over time.
(PMBOK Guide) – Seventh Edition, 2021, p44–46, “Tailoring”</t>
  </si>
  <si>
    <t>You are working on a project where senior users have been testing the product as parts are released. They have found some missing requirements and defects. Their manager is worried that the project won’t deliver a product that is fit for purpose, without defects and within the timeframe needed. What will you do next?</t>
  </si>
  <si>
    <t>A. Perform some of the testing yourself to ensure a quality product.
B. Help every team member to focus on quality, from correct acceptance criteria to a developed and tested product.
C. Limit testing until the very end of the project so you can do it all in one go when the product is completely ready.
D. Increase the testing on your project and add more testing resources so no defect goes unnoticed.</t>
  </si>
  <si>
    <t>Quality focuses on meeting acceptance criteria for deliverables, and satisfying stakeholders’ expectations on product requirements. Quality is everyone’s responsibility in an Adaptive (Agile) project.
(PMBOK Guide) – Seventh Edition, 2021, p47–49, “Build quality into processes and deliverables”.</t>
  </si>
  <si>
    <t>VUCA - Volatility, Uncertainty, Complexity, and Ambiguity</t>
  </si>
  <si>
    <t>You are working through the risk assessment with your team, who are having trouble coming up with ideas for risks. You decide to give them some guidance on types of complexity that might affect your new product. What will you do next?</t>
  </si>
  <si>
    <t>A. Ask them to brainstorm Qualitative and Quantitative risks.
B. Ask them to perform the Five Whys and Ishikawa analysis.
C. Ask them to brainstorm around possible unwanted human behaviour, system behaviour, ambiguity and technical innovation impacts.
D. Ask them to perform a retrospective to discover what isn’t working well, and what still puzzles us.</t>
  </si>
  <si>
    <t>Complexity is often the result of human behaviour, system interactions, technical innovation, uncertainty and ambiguity. Complexity can be introduced by events or conditions that affect value, scope, stakeholders, risk and more.
(PMBOK Guide – Sixth Edition, 2021, p.50–51, “Navigate complexity”)</t>
  </si>
  <si>
    <t>A risk has been raised in your project around insufficient building materials. One risk response assigned to the functional manager suggests using a brand-new material, which has not been fully tested in a building project. Half of your stakeholder group are happy with this risk response, but the other half are not and refuse to sign off on it. What will you do next?</t>
  </si>
  <si>
    <t>A. Suggest a quantitative risk approach to give a more accurate financial impact.
B. Suggest they proceed with the proposed risk response, and ensure it is followed through.
C. Suggest a different risk owner, as an executive may have more power to respond to the risk.
D. Suggest a different risk response, as they should be timely, cost effective, realistic, and agreed to by relevant stakeholders.</t>
  </si>
  <si>
    <t>This question refers to risk responses. Risk responses should be appropriate and timely to the significance of the risk, cost effective, realistic within the project context, agreed to by relevant stakeholders, and owned by a responsible person. D is the best answer.
(PMBOK Guide – Seventh Edition, 2021, p.54, “Risk”)</t>
  </si>
  <si>
    <t>Your project is starting to go off track due to a large amount of uncertainty in the requirements and resources. At a significant cost, you have managed to rein in these issues; however, your project management office would like you to brainstorm ways to improve with your team so that they do not happen again. What will you do next?</t>
  </si>
  <si>
    <t>A. Ask your team to increase the project Contingency Reserve, to allow for these impacts.
B. Ask your team to change the project methodology from Waterfall to Agile.
C. Ask your team to use short feedback loops, continuous improvement, and transparent planning.
D. Ask your team to check their work twice before sending it to the next part of the process.</t>
  </si>
  <si>
    <t>A project team needs to embrace adaptability and resiliency with methods such as using short feedback loops, continuous learning and improvement, regular inspection and adaptation of project work, diverse project teams, transparent planning, using prototypes, and more.
(PMBOK Guide – Seventh Edition, 2021, p.56, “Embrace adaptability and resiliency.”)</t>
  </si>
  <si>
    <t>**</t>
  </si>
  <si>
    <t>As your project progresses, many of the business stakeholders are starting to voice their concerns, to question some of the changes, and even miss key meetings while trying to sabotage your efforts. What will you do next?</t>
  </si>
  <si>
    <t>A. Communicate the vision and benefits for the change clearly, along with the impact to their work.
B. Create an impact-over-influence chart to determine who should be engaged appropriately.
C. Escalate the matter with your project sponsor, and arrange for different stakeholders.
D. Map the current state and the proposed future state of the change for the stakeholders.</t>
  </si>
  <si>
    <t xml:space="preserve"> This question is about change management, which is a structured approach to transitioning groups to a future state. Too much change or a lack of understanding can lead to resistance and change fatigue. Methods include communicating the vision, goals, and benefits of the change early, along with the impact on work processes.
(PMBOK Guide – Seventh Edition, 2021, p.59, “Enable change to achieve the envisioned future state”)</t>
  </si>
  <si>
    <t>You are analysing your stakeholders through an impact-over-influence chart and have found more than 100 different groups of people and over 3,000 impacted stakeholders. Other parts of your project are starting to fall behind as you try to keep up with the large number of people. What will you do next?</t>
  </si>
  <si>
    <t>A. Ask your project team to engage different groups of stakeholders so everyone is covered.
B. Clearly prioritise the stakeholders, then engage and communicate with the highly impacted and influential groups early and often.
C. Monitor the stakeholders for signs of stress and respond to groups most stressed about the project.
D. Create a SharePoint page for changes that any stakeholder can gather information from anytime.</t>
  </si>
  <si>
    <t>This question is about engaging stakeholders. The process includes: Identify, Understand and Analyse, Prioritise, Engage and Monitor your stakeholders. Where you have too many to engage effectively, prioritisation is the key. Impact and influence are two ways, as well as power, beliefs, expectations, proximity to the project, interest and more.
(PMBOK Guide – Seventh Edition, 2021, p.11–12, “Stakeholder Engagement: Prioritise and Engage”)</t>
  </si>
  <si>
    <t>You are managing a project which communicates to the customer using mostly pull communication so far. When monitoring the engagement of your stakeholders, you notice a trend that they are not clear on the impacts or benefits of the project. You decide to add push communication to your communication plan. What will you do next?</t>
  </si>
  <si>
    <t>A. Create a webpage using SharePoint with all the project information that your stakeholders can see.
B. Push for more funding on your project, and communicate this to your project sponsor.
C. Push your stakeholders to engage in more two-way communication.
D. Send a weekly email to stakeholders with a project update, including the impacts and benefits.</t>
  </si>
  <si>
    <t>Push communication is sent to stakeholders using memos, emails, status reports, voice mail and more. Pull communication is something a customer can pull at any time – from a bulletin, a web page, a whiteboard, etc.
(PMBOK Guide – Seventh Edition, 2021, p.13, “Types of Communication”)</t>
  </si>
  <si>
    <t>You have taken over a project with a vendor where scope and requirements have been missed. You notice that miscommunication and mixed messages are common. You set a meeting with your team and the vendor’s team. The meeting is extremely important to get right. What will you do next?</t>
  </si>
  <si>
    <t>A. Speak slowly and clearly with the vendor’s team, at a louder volume if necessary.
B. Confirm they hear your message, determine if they agree, and identify nuanced or unintended messages they may have received.
C. Only communicate with the vendor in writing, so you have a trail of proof if anything goes wrong in the future.
D. Prepare a claim for the mishandled scope of your project through your procurement team.</t>
  </si>
  <si>
    <t>This question is asking about communication. With all forms of communication, quick feedback loops provide the information you need by confirming they heard the message, determining if they agree, and identifying any nuances or additions to the message they may have added or heard.
(PMBOK Guide – Seventh Edition, 2021, p.13, “Stakeholder Engagement: Engage”)</t>
  </si>
  <si>
    <t>Your stakeholders seem to be engaged, however there are frequent changes to scope and requirements, causing delays. Issues are often raised and result in multiple rounds of feedback. You are not sure who or what could be the cause. What will you do next?</t>
  </si>
  <si>
    <t>A. Perform root cause analysis with your project team on the problem to brainstorm ideas.
B. Raise a risk in the risk register for the project delay, and review responses with your team.
C. Review the issue log, risk register and change log for the most frequent requestors, then update your stakeholder engagement approach for those people.
D. Ensure your project budget has enough contingency reserves to meet the multiple reviews and delays.</t>
  </si>
  <si>
    <t>A significant number of changes or modifications to the project requirements or scope may indicate stakeholders are not engaged or aligned with the project objectives. A review of the project issue register or risk register can identify challenges associated with individual stakeholders.
(PMBOK Guide – Seventh Edition, 2021, p.15, “Checking outcomes – Stakeholder Performance”)</t>
  </si>
  <si>
    <t xml:space="preserve">
You have noted nine epics for delivery as part of your most recent project. Your team has broken down these epics into user stories, and would like to see the effort involved for these deliverables. You ask your team to find the smallest user story, size it with a "1", and then determine the size of the other cards based on how they compare to the original card. What approach are you taking?</t>
  </si>
  <si>
    <t>A. Relative estimating with your team. B. Deterministic estimating to determine the effort. C. Absolute estimating to get an estimate with absolute certainty. D. Probabilistic estimating with the highest probability items.</t>
  </si>
  <si>
    <t xml:space="preserve">
This question is about estimating, and making an estimate in comparison to other estimates is relative estimating.
(PMBOK Guide) – Seventh Edition, 2021, p57, "Relative Estimating"</t>
  </si>
  <si>
    <t>When reviewing the current progress with your project sponsor, they notice that the system solution is missing a critical piece that will impact the benefit of the project. The project sponsor approves this scope. Your project has a Planned Value of $520,000 and an Actual Cost of $535,000. What will you do next?</t>
  </si>
  <si>
    <t>A. Work with the PMO to unlock the project management reserves for the extra work B. Ask the Product Owner to reprioritise the backlog and see if the new work will fit. C. Perform the work within your normal budget as your project is on track. D. Raise a change request for the changes and gain approval from the Change Control Board.</t>
  </si>
  <si>
    <t xml:space="preserve">
You are in the planning stages of an Agile project where the functional manager and senior users have provided the high level requirements and scope. You have been asked to put together a project team that will be able to deliver quickly. What will you do next? </t>
  </si>
  <si>
    <t>A. Select project members from each city to ensure diversity of knowledge within the team. B. Put together a resource management plan outlining the resources required. C. Ask your PMO for current available resources and assign them to the work. D. Select a small team that can work in the same area so they can solve problems as they arise.</t>
  </si>
  <si>
    <t>Best when they are "colocated"</t>
  </si>
  <si>
    <t>You are putting together a project team to deliver an accounting system to offices around the country. The accounting system you are moving to has not been used by anyone in your organisation before. The project is quite high risk, and the delivery needs to be right the first time. What will you do next?</t>
  </si>
  <si>
    <t>A. Select a small team that can work in the same area so they can solve problems as they arise. B. Use a predictive project approach and source part of your team externally if they have skillsets in the new system. C. Train existing internal staff in the new system then have them work on the project. D. Perform a make or buy analysis on the different software options.</t>
  </si>
  <si>
    <t>The benefit that outside skills bring to the project are weighed against the costs that will be incurred. With higher risk and a single delivery, a waterfall or predictive project delivery approach is best.
(PMBOK Guide) – Seventh Edition, 2021, p63, “Project Team Composition and Structure”</t>
  </si>
  <si>
    <t>You are putting together a project plan for a change that affects nearly ten thousand stakeholders in your organisation. You have identified the affected stakeholders, analysed and prioritised them, and are putting together a communication plan to ensure the right engagement is made. What will you NOT include in your plan?</t>
  </si>
  <si>
    <t>A. Why should information be shared with stakeholders? B. What is the best way to provide information? C. How can they make changes to the communication plan? D. When and how often is information needed?</t>
  </si>
  <si>
    <t>When planning for the team, the project manager considers the ability and necessity for them to work in the same location. Small project teams that can work in the same room are able to take advantage of osmotic communication and can solve problems as they arise.
(PMBOK Guide) – Seventh Edition, 2021, p64, “Project Team Composition and Structure”</t>
  </si>
  <si>
    <t>You have noted nine epics for delivery as part of your most recent project. Your team has broken down these epics into user stories, and would like to see the effort involved for these deliverables. You ask your team to find the smallest user story, size it with a "1", and then determine the size of the other cards based on how they compare to the original card. What approach are you taking?</t>
  </si>
  <si>
    <t>"Project teams whose projects require significant physical materials think and plan strategically about the timing from order, to delivery, to usage. This can include evaluation of bulk ordering versus the cost of storage, global logistics and more.
(PMBOK Guide) – Seventh Edition, 2021, p65, 'Physical resources.'"</t>
  </si>
  <si>
    <t>A. Take the project scope change to the change control board for approval.
B. Use the available contingency reserves to make the appropriate change to project scope.
C. Review the change management plan for the change control process.
D. Reprioritize the product backlog, including the new scope and begin work on the highest priority straight away.</t>
  </si>
  <si>
    <t>You are halfway through your agile project when there is a significant change to the project scope, after it was found that the project would not be able to deliver the benefits it had promised. You check your project budget and there are contingency and management reserves available. What will you do next?</t>
  </si>
  <si>
    <t>You're working as an agile project manager and the executive manager who will own the product would like to focus primarily on only set processes and tools to manage the project. What would you recommend to them instead of set processes and tools?</t>
  </si>
  <si>
    <t xml:space="preserve">The executive management in your organization has assembled a new team and dictated that they will use Agile for their product development. As the project progresses, there is confusion about product scope and the definition of what 'done' looks like. As an agile project manager, what will you recommend to the executive team? </t>
  </si>
  <si>
    <t>You're running an agile project and you meet with the team for the next sprint planning meeting. What will you do next?</t>
  </si>
  <si>
    <t>You're a project manager working on an agile project and you want your team to maximize the value they bring to the customer. What can you eliminate in order to maximize project value?</t>
  </si>
  <si>
    <t>You're working on a project and the team have recently moved to an agile way of work. One of the team members is confused about Scrum and what typically happens after the sprint review. What will you tell them happens next?</t>
  </si>
  <si>
    <t>You're working in an agile team and preparing the agile team charter. You work with the agile team to ensure the team charter answers these four questions: Why are we doing this project? Who benefits from the project? And which of the following pairs are the next two questions?</t>
  </si>
  <si>
    <t>You're working with a new agile project manager and explain that agile favors value-based measurements instead of predictive-based measurements on a project. What is an example of value-based measurements?</t>
  </si>
  <si>
    <t xml:space="preserve">Agile Unified Process (AUP) focuses on performing more iterative cycles across seven key disciplines, incorporating the associated feedback before formal delivery. Which is NOT one of the seven key disciplines within a release for Agile Unified Process? </t>
  </si>
  <si>
    <t>You're leading a coaching session with your project team on the additional agile and lean frameworks that have contributed to the agile way of work. What frameworks will you share with the team?</t>
  </si>
  <si>
    <t xml:space="preserve">Introduced by Alexander Coburn in his book Crystal Clear and created at IBM in 1991, this methodology is a framework for focusing on individuals and their interactions, opposed to processes and tools. It is not a set process but a guideline for the team to collaborate and communicate. Which is NOT one of the core beliefs of Crystal? </t>
  </si>
  <si>
    <t>You're working on a project in the role of Scrum Master and have set a meeting with the team and the Product Owner to refine the product backlog. What should the team do in this meeting?</t>
  </si>
  <si>
    <t>You're working with a team who would like to become agile. The functional manager asks you what the difference between Kanban and Scrum is. What will you tell them?</t>
  </si>
  <si>
    <t>You're working on a new project with an agile product development team who have self-formed and chosen a Scrum Master called Jeremy. Jeremy immediately sets a meeting with the team to explain and flesh out their team charter. What has made Jeremy a good choice for Scrum Master?</t>
  </si>
  <si>
    <t>You're managing a project as an agile project manager and a business representative for the product you're delivering asks you how many defects were found in the latest round of testing. You don't know the answer off the top of your head. What should you do?</t>
  </si>
  <si>
    <t>You're working in a company that is moving from a waterfall methodology to agile. You mention to the business unit manager that the team will be better prepared to respond to change and meet customer needs using Agile. Why is this?</t>
  </si>
  <si>
    <t xml:space="preserve">For agile life cycles, two kinds of planning occur: release planning and iteration planning. What is the incorrect description below regarding iteration planning and backlog preparation? </t>
  </si>
  <si>
    <t>Behavior Driven Development (BDD) allows a developer to focus on testing the code based on the expected behavior of the software and is a method of writing user stories and acceptance criteria. What is the correct description regarding BDD acceptance criteria?</t>
  </si>
  <si>
    <t xml:space="preserve">Every project has characteristics around requirements, delivery, change, and goals. Understanding the different types of life cycles allows you to choose the right one for your project. What is the correct description for a Waterfall approach? </t>
  </si>
  <si>
    <t>What is the correct description for an Iterative project approach?</t>
  </si>
  <si>
    <t>The team charter is also a social contract. Which of the below is NOT usually a part of an agile team charter?</t>
  </si>
  <si>
    <t>You're working with a team that is new to agile and you're using Scrum to manage the project. The business representative is confused about the difference between a Sprint Review and a Sprint Retrospective. What will you tell them?</t>
  </si>
  <si>
    <t>You're working on an agile project as a team member and begin gathering the product requirements. What is the overall first question that you should ask and use as a guide for your work?</t>
  </si>
  <si>
    <t>The agile team for which you're the project manager has determined several key features to deliver to the customer. How should these tasks be tackled by the team?</t>
  </si>
  <si>
    <t xml:space="preserve">You're working on an agile project and the project team have just finished an iteration. All tasks for the iteration have been completed and you're ready to move on to the next iteration, but you're not sure what the team should work on. What will you do next? </t>
  </si>
  <si>
    <t xml:space="preserve">While meeting with the customers or business owners, they introduce several pieces of new functionality into the product backlog list. The deadline for the product cannot be changed. What will we do next? </t>
  </si>
  <si>
    <t xml:space="preserve">Every project has characteristics around requirements, delivery, change, and goals. What is the correct description for an Incremental project management approach? </t>
  </si>
  <si>
    <t>Contingency Reserve</t>
  </si>
  <si>
    <t>Management Reserve</t>
  </si>
  <si>
    <t>for project risks</t>
  </si>
  <si>
    <t>for unforseen scope</t>
  </si>
  <si>
    <t>https://www.youtube.com/watch?v=Zht0-j03NfQ</t>
  </si>
  <si>
    <t>Changes may occur as a result of a risk event, environment change, a deeper understanding of requirements, customer requests and more. Project teams should prepare a process for adapting plans throughout the project. In an Agile team, this may take the form of reprioritising the backlog instead of a change control process with project baselines.
(PMBOK Guide) - Seventh Edition, 2021, p66, “Changes"</t>
  </si>
  <si>
    <t>#</t>
  </si>
  <si>
    <t>You are managing a project to implement a new company-wide software system. During execution, a key stakeholder requests a significant change that will impact the scope and timeline. What should you do first?</t>
  </si>
  <si>
    <t>A. Reject the change since it affects the timeline and scope
B. Implement the change to keep the stakeholder satisfied
C. Evaluate the impact of the change and follow the change control process
D. Escalate the issue to the sponsor for a decision</t>
  </si>
  <si>
    <t>The appropriate action when a significant change is requested is to evaluate the impact on scope, time, cost, and other project constraints, and then follow the formal change control process. This ensures changes are managed in an organized way, with decisions based on data and project governance—not on ad hoc decisions.</t>
  </si>
  <si>
    <t>A project manager notices that team members are frequently missing deadlines due to unclear task assignments. What is the best action the project manager should take?</t>
  </si>
  <si>
    <t>A. Escalate the issue to the functional manager
B. Reassign the tasks to different team members
C. Review and improve the responsibility assignment matrix (RAM)
D. Extend the project schedule to accommodate delays</t>
  </si>
  <si>
    <t>When task assignments are unclear, the Responsibility Assignment Matrix (RAM) is the tool that helps clarify roles and responsibilities. Reviewing and improving the RAM ensures every team member knows who is responsible for what, which helps reduce confusion and missed deadlines.</t>
  </si>
  <si>
    <t>During a project review, you discover that the cost performance index (CPI) is 0.78 and the schedule performance index (SPI) is 0.89. What should the project manager do next?</t>
  </si>
  <si>
    <t>A. Re-baseline the project
B. Determine the root causes and take corrective action
C. Crash the schedule to recover time
D. Inform the sponsor that the project will exceed the budget</t>
  </si>
  <si>
    <t>A CPI of 0.78 and SPI of 0.89 both indicate that the project is over budget and behind schedule. The best course of action is to determine the root causes of these variances and then take corrective actions to bring the project back on track. Re-baselining or crashing should come only after proper analysis.</t>
  </si>
  <si>
    <t>You are managing a project with multiple vendors. One vendor is consistently delivering late, affecting your schedule. What is the best course of action?</t>
  </si>
  <si>
    <t>A. Terminate the vendor’s contract immediately
B. Report the vendor to the procurement department
C. Review the contract terms and hold a meeting with the vendor
D. Assign additional internal resources to make up for the delays</t>
  </si>
  <si>
    <t>The best approach is to review the contract terms and then meet with the vendor to discuss the delays and expectations. This allows you to address the issue professionally and contractually, and explore solutions before escalating or making drastic decisions like termination.</t>
  </si>
  <si>
    <t>You are leading a complex product development project involving multiple cross-functional teams. During the iteration review, one stakeholder expresses concern that a key feature does not meet their expectations, even though it was developed as documented. What should you do first?</t>
  </si>
  <si>
    <t>A. Explain that the feature meets the documented requirements
B. Escalate the issue to the change control board
C. Ask the stakeholder to submit a formal change request
D. Facilitate a discussion to understand the stakeholder’s expectations and identify gaps</t>
  </si>
  <si>
    <r>
      <t xml:space="preserve">Even if the feature meets documented requirements, the stakeholder's dissatisfaction signals a </t>
    </r>
    <r>
      <rPr>
        <b/>
        <sz val="10"/>
        <color rgb="FF000000"/>
        <rFont val="Arial"/>
        <scheme val="minor"/>
      </rPr>
      <t>possible misalignment</t>
    </r>
    <r>
      <rPr>
        <sz val="10"/>
        <color rgb="FF000000"/>
        <rFont val="Arial"/>
        <scheme val="minor"/>
      </rPr>
      <t xml:space="preserve"> between expectations and what was delivered. The best first step is to </t>
    </r>
    <r>
      <rPr>
        <b/>
        <sz val="10"/>
        <color rgb="FF000000"/>
        <rFont val="Arial"/>
        <scheme val="minor"/>
      </rPr>
      <t>facilitate a conversation</t>
    </r>
    <r>
      <rPr>
        <sz val="10"/>
        <color rgb="FF000000"/>
        <rFont val="Arial"/>
        <scheme val="minor"/>
      </rPr>
      <t xml:space="preserve"> to understand their concerns, clarify expectations, and identify any </t>
    </r>
    <r>
      <rPr>
        <b/>
        <sz val="10"/>
        <color rgb="FF000000"/>
        <rFont val="Arial"/>
        <scheme val="minor"/>
      </rPr>
      <t>communication or requirement gaps</t>
    </r>
    <r>
      <rPr>
        <sz val="10"/>
        <color rgb="FF000000"/>
        <rFont val="Arial"/>
        <scheme val="minor"/>
      </rPr>
      <t>. This proactive approach supports stakeholder engagement and continuous improvement.</t>
    </r>
  </si>
  <si>
    <t>Difficulty level</t>
  </si>
  <si>
    <t>You are managing a project that is currently behind schedule due to delays from external vendors. Your team proposes fast tracking some activities to recover time. What is the most important risk the project manager should consider when fast tracking?</t>
  </si>
  <si>
    <t>A. Increased stakeholder expectations
B. Additional resource costs
C. Reduced quality of deliverables
D. Increased possibility of rework and project risk</t>
  </si>
  <si>
    <t>Fast tracking means performing activities in parallel that were originally planned to be done sequentially. This can help recover schedule delays but often introduces higher risk of rework, coordination issues, and integration problems. Therefore, the biggest concern is the increased risk and potential for rework, not just cost or quality.</t>
  </si>
  <si>
    <t>A project manager is overseeing a high-visibility transformation initiative. Midway through execution, several senior stakeholders begin pushing for scope changes that contradict the agreed-upon business case. What is the best approach the project manager should take?</t>
  </si>
  <si>
    <t>A. Escalate to the project sponsor for immediate resolution
B. Accept the changes to maintain senior stakeholder support
C. Facilitate a review of the business case and assess the impact of proposed changes
D. Remind stakeholders of the original project goals and refuse changes</t>
  </si>
  <si>
    <t>When stakeholders propose changes that contradict the business case, the project manager must facilitate a structured review, assessing the impact on benefits, scope, time, and cost. This ensures decisions are based on data and alignment with business objectives. Blindly accepting or rejecting changes without analysis can jeopardize project value and stakeholder trust.</t>
  </si>
  <si>
    <t>You are managing a global project with team members distributed across multiple time zones. Lately, there have been frequent miscommunications and delays in task execution. What is the best action the project manager can take to improve team performance?</t>
  </si>
  <si>
    <t>A. Schedule a weekly all-hands meeting in one fixed time slot
B. Use asynchronous communication tools and establish clear collaboration protocols
C. Assign a local coordinator in each time zone to manage tasks
D. Rotate meeting times so everyone occasionally attends outside their normal hours</t>
  </si>
  <si>
    <t>In global, distributed teams, asynchronous communication tools (like project boards, shared docs, and messaging apps) combined with clear collaboration protocols (task ownership, deadlines, escalation paths) are crucial for minimizing delays and miscommunication. This respects time zone differences while keeping the team aligned and productive.</t>
  </si>
  <si>
    <t>A. Reassure the team member that change is normal in projects
B. Conduct a team meeting to reinforce the importance of adaptability
C. Review the change management process to ensure changes are properly evaluated and justified
D. Escalate the issue to the sponsor for intervention</t>
  </si>
  <si>
    <t>A team member approaches you, the project manager, expressing frustration about repeated scope changes that are impacting morale and productivity. What is the best response?</t>
  </si>
  <si>
    <t>When team morale is affected by frequent scope changes, the project manager must ensure that the change management process is being followed and that each change is justified and evaluated. This maintains team confidence in the process and avoids the feeling of “scope creep chaos.”</t>
  </si>
  <si>
    <t>You're managing a project nearing completion. A key stakeholder now requests a new feature that was not part of the original scope but argues it will add significant value. What should you do first?</t>
  </si>
  <si>
    <t>A. Add the feature to maintain stakeholder satisfaction
B. Evaluate the impact of the change and follow the change control process
C. Ask the team to accommodate the feature within existing resources
D. Decline the request since the project is almost complete</t>
  </si>
  <si>
    <t>Even late in the project, any requested change must go through a formal change control process. This includes evaluating the impact on scope, schedule, cost, and quality before a decision is made. This maintains governance and avoids uncontrolled scope creep, even if the change seems beneficial.</t>
  </si>
  <si>
    <t>Midway through a project, you discover that some key deliverables are not meeting the quality standards defined in the project management plan. What is the best action to take?</t>
  </si>
  <si>
    <t>A. Update the quality management plan to match current performance
B. Issue a change request to modify the quality standards
C. Perform a root cause analysis and implement corrective actions
D. Inform the stakeholders that minor quality issues are expected</t>
  </si>
  <si>
    <t>When deliverables fall short of quality standards, the project manager should initiate a root cause analysis to identify why, and then implement corrective actions. Adjusting standards or downplaying the issue without investigation undermines the integrity of the quality management process.</t>
  </si>
  <si>
    <t>A project manager is working with a team using an Agile approach. During the daily stand-up, a team member raises a blocker that has remained unresolved for several days. What is the most appropriate next step?</t>
  </si>
  <si>
    <t>A. Ask the team member to escalate the blocker after the meeting
B. Take ownership of the blocker and work to resolve it promptly
C. Add the blocker to the backlog for future resolution
D. Remind the team to follow the escalation path defined in the communications plan</t>
  </si>
  <si>
    <t>In Agile environments, blockers are impediments that must be removed as soon as possible to ensure team velocity and flow. The Scrum Master or project manager is responsible for facilitating the removal of these blockers. Adding it to the backlog delays resolution, which goes against Agile values of responsiveness and team support.</t>
  </si>
  <si>
    <t>Agile Owner responsibilities</t>
  </si>
  <si>
    <t>You are managing a project with high uncertainty and evolving requirements. The team is using an Agile approach. Midway through a sprint, a stakeholder asks to add a new high-priority feature. What should you do?</t>
  </si>
  <si>
    <t>A. Add the feature to the current sprint if the team agrees
B. Explain that changes can only be considered during sprint planning
C. Cancel the sprint and start a new one with the updated requirements
D. Escalate the request to the sponsor for approval</t>
  </si>
  <si>
    <t>In Agile (Scrum), sprint scope is locked during the sprint to ensure focus and commitment. New requests — even high-priority ones — should be added to the product backlog and considered in the next sprint planning session. This protects the team from mid-sprint disruptions. Escalating to the sponsor is unnecessary unless the change is critical and would justify terminating the sprint, which is rare.</t>
  </si>
  <si>
    <t>During a project’s execution phase, a team member comes to you and admits they have been falsifying progress reports due to fear of missing deadlines. What is the best course of action?</t>
  </si>
  <si>
    <t>A. Terminate the team member to set an example
B. Report the incident to senior management immediately
C. Have a private conversation to understand the root cause and coach the team member
D. Ignore the issue since the deadlines are still being met</t>
  </si>
  <si>
    <t>This is an issue of ethics, trust, and leadership. The best initial step is to have a private, non-punitive conversation with the team member to understand the root cause (fear, pressure, lack of support) and provide coaching or support. Immediate reporting or termination may be necessary later depending on severity, but effective project leadership involves addressing issues with empathy and integrity first.</t>
  </si>
  <si>
    <t>You are managing a project with a fixed budget and timeline. During execution, the client insists on adding new requirements without adjusting the schedule or budget. What is the best response?</t>
  </si>
  <si>
    <t>A. Add the requirements and compress the schedule
B. Escalate to the change control board for decision-making
C. Add the requirements to the backlog and implement them later
D. Reject the changes to maintain the baseline</t>
  </si>
  <si>
    <t>When a client requests changes that impact the triple constraints (scope, time, cost), the appropriate response is to initiate the change control process. The Change Control Board (CCB) evaluates the impact and makes a formal decision. This ensures transparency, governance, and accountability — especially critical in fixed-budget projects.</t>
  </si>
  <si>
    <t>A project manager is leading a virtual team across different cultures and time zones. The team is showing signs of low engagement and misalignment. What should the project manager do to improve team performance?</t>
  </si>
  <si>
    <t>A. Increase the frequency of status reports to ensure accountability
B. Rotate team leadership to improve ownership and visibility
C. Schedule a team-building workshop focusing on communication and collaboration
D. Implement stricter task tracking using project management software</t>
  </si>
  <si>
    <t>When managing virtual and culturally diverse teams, issues like low engagement and misalignment are often rooted in poor communication and lack of team cohesion. A team-building workshop focused on collaboration and communication helps establish trust, improve cultural understanding, and align team members around shared goals.</t>
  </si>
  <si>
    <t>2 - Moderate</t>
  </si>
  <si>
    <t>3 - Moderate to Hard</t>
  </si>
  <si>
    <t>1 - easy</t>
  </si>
  <si>
    <t>4 - Hard</t>
  </si>
  <si>
    <t>During a risk review meeting, a previously identified risk has occurred, impacting the project schedule. The contingency plan is outdated and no longer applicable. What is the best course of action?</t>
  </si>
  <si>
    <t>A. Accept the impact since the risk was already identified
B. Escalate the issue to the project sponsor
C. Update the risk response plan and develop a new mitigation strategy
D. Terminate affected activities and replan the project scope</t>
  </si>
  <si>
    <t>When a known risk occurs and the contingency plan is no longer effective, the project manager must update the risk response plan and create a new mitigation strategy. This demonstrates proactive risk management and aligns with best practices in keeping risk responses current and adaptable.</t>
  </si>
  <si>
    <t>Your team is finishing a long and complex project. During the final sprint review, a major stakeholder expresses disappointment, stating that the deliverables don’t align with their original vision. What should you do first?</t>
  </si>
  <si>
    <t>A. Remind the stakeholder that all requirements were approved
B. Review the stakeholder engagement plan and feedback history
C. Escalate the concern to the sponsor immediately
D. Begin reworking the deliverables to meet the stakeholder’s vision</t>
  </si>
  <si>
    <t>Before reacting to stakeholder dissatisfaction, the project manager should review the stakeholder engagement plan and feedback history to understand how expectations were managed and whether communication gaps occurred. This ensures that any response is informed and constructive, and helps address potential misalignment at its root.</t>
  </si>
  <si>
    <t>A project team is delivering work in iterations. During a retrospective, several team members mention that they feel overworked and are struggling to meet sprint commitments. What should the project manager or Scrum Master do first?</t>
  </si>
  <si>
    <t>A. Reduce the sprint scope for future iterations
B. Encourage the team to work overtime to stay on track
C. Reassess the team’s velocity and adjust planning accordingly
D. Replace underperforming team members with new resources</t>
  </si>
  <si>
    <t>When a team is consistently struggling to meet sprint commitments, the first step is to reassess their velocity — a key Agile metric for how much work the team can realistically handle. Planning should then be adjusted based on actual team capacity, not pressure or assumptions. This supports sustainable pace and team health.</t>
  </si>
  <si>
    <t>A project manager is working with a supplier under a fixed-price contract. The supplier is experiencing cost overruns and requests additional payment. What should the project manager do?</t>
  </si>
  <si>
    <t>A. Approve additional payment to maintain a good relationship
B. Review the contract terms before responding to the request
C. Escalate the issue to procurement for resolution
D. Terminate the contract and find a new supplier</t>
  </si>
  <si>
    <t>Under a fixed-price contract, the supplier assumes the risk of cost overruns. The project manager should review the contract terms before responding. This ensures the response aligns with contractual obligations and avoids unnecessary cost increases. Emotional or relationship-driven decisions should be avoided without contractual backing.</t>
  </si>
  <si>
    <t>Your organization is launching multiple strategic projects simultaneously. As a project manager, you are concerned that shared resources may become overloaded. What should you do to address this proactively?</t>
  </si>
  <si>
    <t>A. Request that the sponsor prioritize your project over others
B. Escalate the issue to functional managers for resolution
C. Use a resource histogram to analyze and resolve overallocations
D. Hire additional resources to avoid future delays</t>
  </si>
  <si>
    <t>A resource histogram is a visual tool that helps project managers identify overallocation or underutilization of resources across time periods. By proactively analyzing workload using this method, you can make data-driven decisions about leveling, rescheduling, or negotiating for additional resources — before it affects delivery.</t>
  </si>
  <si>
    <t>You’re managing a critical infrastructure project when a government regulation changes, impacting part of your work. What is the best immediate action?</t>
  </si>
  <si>
    <t>A. Suspend work on the affected components until further notice
B. Escalate the issue to the legal department for interpretation
C. Assess the impact of the regulation on project scope, cost, and schedule
D. Submit a change request and wait for formal approval</t>
  </si>
  <si>
    <t>When external changes like new regulations occur, the first action should be to assess the impact on project scope, schedule, and cost. This assessment forms the basis for informed decisions, including change requests or risk responses. Acting without analysis could lead to unnecessary delays or compliance issues.</t>
  </si>
  <si>
    <t>During stakeholder analysis, you identify a stakeholder with high influence but low interest. What is the best strategy to manage this stakeholder?</t>
  </si>
  <si>
    <t>A. Manage closely
B. Keep satisfied
C. Monitor only
D. Keep informed</t>
  </si>
  <si>
    <t>A stakeholder with high influence but low interest should be kept satisfied. These stakeholders can greatly affect your project if they become displeased, so you must manage them proactively—but not overwhelm them with details. This aligns with the Power/Interest grid strategy for stakeholder management.</t>
  </si>
  <si>
    <t>You are managing a project that is halfway through execution when the customer provides feedback that some deliverables are not aligned with their evolving business needs. What should the project manager do next?</t>
  </si>
  <si>
    <t>A. Inform the customer that scope cannot change mid-project
B. Initiate a change request to reassess the project scope
C. Continue with the current plan to avoid delays
D. Ask the team to modify the deliverables informally to satisfy the customer</t>
  </si>
  <si>
    <r>
      <t xml:space="preserve">When a customer’s needs evolve during project execution, the </t>
    </r>
    <r>
      <rPr>
        <b/>
        <sz val="10"/>
        <color rgb="FF000000"/>
        <rFont val="Arial"/>
        <scheme val="minor"/>
      </rPr>
      <t>proper course of action</t>
    </r>
    <r>
      <rPr>
        <sz val="10"/>
        <color rgb="FF000000"/>
        <rFont val="Arial"/>
        <scheme val="minor"/>
      </rPr>
      <t xml:space="preserve"> is to </t>
    </r>
    <r>
      <rPr>
        <b/>
        <sz val="10"/>
        <color rgb="FF000000"/>
        <rFont val="Arial"/>
        <scheme val="minor"/>
      </rPr>
      <t>initiate a formal change request</t>
    </r>
    <r>
      <rPr>
        <sz val="10"/>
        <color rgb="FF000000"/>
        <rFont val="Arial"/>
        <scheme val="minor"/>
      </rPr>
      <t xml:space="preserve">. This ensures that the impact on scope, schedule, and cost is assessed, and any changes are </t>
    </r>
    <r>
      <rPr>
        <b/>
        <sz val="10"/>
        <color rgb="FF000000"/>
        <rFont val="Arial"/>
        <scheme val="minor"/>
      </rPr>
      <t>approved through the change control process</t>
    </r>
    <r>
      <rPr>
        <sz val="10"/>
        <color rgb="FF000000"/>
        <rFont val="Arial"/>
        <scheme val="minor"/>
      </rPr>
      <t>. Informal changes risk scope creep and project misalignment.</t>
    </r>
  </si>
  <si>
    <t>A project manager discovers that two key stakeholders have conflicting expectations about a critical deliverable. What is the best course of action?</t>
  </si>
  <si>
    <t>A. Escalate the issue to the project sponsor for resolution
B. Choose the expectation that aligns with the project charter
C. Facilitate a meeting between the stakeholders to clarify and align expectations
D. Document both expectations and deliver based on the majority opinion</t>
  </si>
  <si>
    <t>When stakeholder expectations conflict, the project manager should act as a facilitator to bring the parties together and align on shared goals. This encourages collaboration, transparency, and helps ensure that the solution supports the project’s objectives and maintains stakeholder engagement.</t>
  </si>
  <si>
    <t>You are managing a project where the sponsor frequently changes priorities, impacting the team’s focus and productivity. What should you do to maintain project alignment?</t>
  </si>
  <si>
    <t>A. Ask the team to adapt quickly to changes as they occur
B. Document all changes and adjust the plan after each update
C. Facilitate a meeting with the sponsor to discuss the impact of shifting priorities
D. Ignore the changes until they are confirmed in writing</t>
  </si>
  <si>
    <t>Frequent shifts in sponsor priorities can destabilize the project. The best approach is to proactively engage the sponsor in a discussion about how these changes are impacting the project’s objectives, team morale, and delivery. This allows for clarity, accountability, and better governance, possibly reinforcing the change control process.</t>
  </si>
  <si>
    <t>While reviewing project performance, you discover that a critical path activity is delayed. What is the most immediate concern as a project manager?</t>
  </si>
  <si>
    <t>A. Budget overrun due to resource idle time
B. Overall project completion date may be delayed
C. Stakeholder dissatisfaction with deliverables
D. Quality issues arising from compressed schedules</t>
  </si>
  <si>
    <t>Activities on the critical path have zero float, meaning any delay directly impacts the project completion date. The most immediate concern is the potential delay to the entire project timeline. Budget, quality, and stakeholder issues may follow, but the first focus must be on the schedule impact.</t>
  </si>
  <si>
    <t>You are managing a project with both Agile and traditional (Waterfall) components. One stakeholder is confused about when they’ll see a working product. What is the best way to manage this expectation?</t>
  </si>
  <si>
    <t>A. Explain that product delivery will occur at the end of the project
B. Clarify which components follow Agile and when incremental deliverables will be available
C. Schedule a formal status meeting at each project phase
D. Provide a detailed Gantt chart showing the full timeline</t>
  </si>
  <si>
    <t>In a hybrid project (Agile + Waterfall), it's critical to clearly communicate which parts follow Agile and provide transparency around when deliverables will be available. This helps manage stakeholder expectations and supports better engagement. Simply providing charts or status meetings won’t resolve the confusion without this clarity.</t>
  </si>
  <si>
    <t>A team member frequently misses deadlines and offers excuses during retrospectives. Other team members are becoming frustrated. What is the best action the project manager or Scrum Master should take?</t>
  </si>
  <si>
    <t>A. Remove the team member to preserve team performance
B. Publicly address the behavior in the next daily stand-up
C. Have a private conversation to understand the root cause and offer support
D. Allow the team to self-manage and hold the member accountable</t>
  </si>
  <si>
    <t>When a team member repeatedly misses deadlines, the most effective and professional approach is to address the issue privately. This allows the project manager or Scrum Master to understand potential root causes (e.g., personal issues, workload, unclear expectations) and offer support or coaching without damaging team morale or trust.</t>
  </si>
  <si>
    <t>You are managing a project that is transitioning from planning to execution. A team member raises concerns that some work packages are not clearly defined. What should you do first?</t>
  </si>
  <si>
    <t>A. Ask the team to proceed and clarify details during execution
B. Update the risk register and proceed with execution
C. Review the work breakdown structure (WBS) and clarify deliverables
D. Escalate the concern to the project sponsor</t>
  </si>
  <si>
    <t>If work packages are not clearly defined, the best action is to review the Work Breakdown Structure (WBS). The WBS ensures each deliverable is properly decomposed, assigned, and understood. Clear work definitions are critical before moving into execution to avoid confusion, scope creep, or rework.</t>
  </si>
  <si>
    <t>You’re managing a project that must comply with strict regulatory requirements. What is the most effective approach to ensure compliance throughout the project lifecycle?</t>
  </si>
  <si>
    <t>A. Assign compliance responsibilities to the legal team
B. Conduct compliance audits only during project closing
C. Integrate compliance requirements into quality management processes
D. Delay work on regulated components until final requirements are confirmed</t>
  </si>
  <si>
    <t>The best way to ensure ongoing compliance is to integrate regulatory requirements into quality management processes. This includes planning for compliance, conducting quality assurance and control throughout the lifecycle, and embedding it into deliverables—not just relying on final audits or isolated teams.</t>
  </si>
  <si>
    <t>Incorrect</t>
  </si>
  <si>
    <t>Notes</t>
  </si>
  <si>
    <t>Source</t>
  </si>
  <si>
    <t>During execution, a senior stakeholder begins bypassing the change control process by directly requesting deliverable modifications from the team. What should the project manager do?</t>
  </si>
  <si>
    <t>A. Allow the team to make the changes to maintain stakeholder satisfaction
B. Remind the team to follow the change control process and notify the stakeholder
C. Escalate the stakeholder’s behavior to the project sponsor
D. Document the changes and adjust the baseline afterward</t>
  </si>
  <si>
    <r>
      <t xml:space="preserve">Bypassing the formal </t>
    </r>
    <r>
      <rPr>
        <b/>
        <sz val="10"/>
        <color rgb="FF000000"/>
        <rFont val="Arial"/>
        <scheme val="minor"/>
      </rPr>
      <t>change control process</t>
    </r>
    <r>
      <rPr>
        <sz val="10"/>
        <color rgb="FF000000"/>
        <rFont val="Arial"/>
        <scheme val="minor"/>
      </rPr>
      <t xml:space="preserve"> undermines project governance and can lead to uncontrolled scope changes. The project manager should </t>
    </r>
    <r>
      <rPr>
        <b/>
        <sz val="10"/>
        <color rgb="FF000000"/>
        <rFont val="Arial"/>
        <scheme val="minor"/>
      </rPr>
      <t>reinforce the process</t>
    </r>
    <r>
      <rPr>
        <sz val="10"/>
        <color rgb="FF000000"/>
        <rFont val="Arial"/>
        <scheme val="minor"/>
      </rPr>
      <t xml:space="preserve"> with the team and </t>
    </r>
    <r>
      <rPr>
        <b/>
        <sz val="10"/>
        <color rgb="FF000000"/>
        <rFont val="Arial"/>
        <scheme val="minor"/>
      </rPr>
      <t>communicate respectfully</t>
    </r>
    <r>
      <rPr>
        <sz val="10"/>
        <color rgb="FF000000"/>
        <rFont val="Arial"/>
        <scheme val="minor"/>
      </rPr>
      <t xml:space="preserve"> with the stakeholder to ensure future requests go through proper channels. This maintains integrity while managing relationships.</t>
    </r>
  </si>
  <si>
    <t>A project sponsor asks for frequent status updates that take significant time to prepare, pulling resources from critical tasks. What is the best approach for the project manager?</t>
  </si>
  <si>
    <t>A. Tell the sponsor that updates will only be provided monthly
B. Automate reporting and negotiate a mutually acceptable frequency
C. Assign a team member full-time to handle reporting tasks
D. Escalate to the PMO to intervene in the sponsor’s requests</t>
  </si>
  <si>
    <t>The best solution is to automate status reporting where possible (dashboards, reports, tools) and negotiate a reporting frequency that satisfies the sponsor without overburdening the team. This balances transparency with productivity, and maintains a good relationship with the sponsor.</t>
  </si>
  <si>
    <t>You are managing a project using an Agile methodology. The customer insists on having a detailed scope and timeline before the project begins. What is the best way to address this concern?</t>
  </si>
  <si>
    <t>In such cases, the best approach is to adopt a hybrid model—providing a high-level roadmap and estimates upfront while still delivering iteratively using Agile. This meets the customer’s need for visibility while maintaining the flexibility of Agile. It also builds trust and facilitates collaboration.</t>
  </si>
  <si>
    <t>A key stakeholder is disengaged and rarely attends review meetings. As a result, their input is missing during important decision points. What should the project manager do?</t>
  </si>
  <si>
    <t>A. Escalate the issue to the sponsor
B. Replace the stakeholder with a more engaged representative
C. Revisit the stakeholder engagement plan and re-strategize communication
D. Continue without their input to maintain progress</t>
  </si>
  <si>
    <t>When a stakeholder is disengaged, the project manager should revisit the stakeholder engagement plan to reassess the stakeholder’s needs, influence, and communication strategy. Adjusting how and when engagement happens may improve their participation and ensure critical input is not missed.</t>
  </si>
  <si>
    <t>PMI Infinity</t>
  </si>
  <si>
    <t>Your project is ahead of schedule and under budget. However, a risk identified earlier has just occurred. What should you do next?</t>
  </si>
  <si>
    <t>A. Ignore the risk since the project is performing well
B. Implement the risk response plan developed during planning
C. Update the project status to reflect the risk impact
D. Reassess the risk to determine if a response is still needed</t>
  </si>
  <si>
    <t>Completion</t>
  </si>
  <si>
    <t>3:05PM</t>
  </si>
  <si>
    <t>10AM</t>
  </si>
  <si>
    <t>Time</t>
  </si>
  <si>
    <t>Date</t>
  </si>
  <si>
    <t>If a risk materializes, and it was already identified and planned for, the appropriate action is to immediately implement the pre-defined response. This is why risk response planning is done proactively. Updating status comes after the response has been executed.</t>
  </si>
  <si>
    <t>You’re managing a project that is using external contractors for specialized tasks. Midway through the project, one contractor misses multiple deadlines. What should you do first?</t>
  </si>
  <si>
    <t>A. File a claim against the contractor per contract terms
B. Replace the contractor with another vendor
C. Meet with the contractor to understand the root cause of delays
D. Escalate the issue to the procurement department</t>
  </si>
  <si>
    <t>Before taking formal actions like replacement or escalation, the best first step is to meet with the contractor to understand the root cause of the delays. There may be solvable issues such as unclear requirements, resource constraints, or miscommunication. Addressing these early can preserve the relationship and avoid unnecessary contract actions.</t>
  </si>
  <si>
    <t>X</t>
  </si>
  <si>
    <t>Even near project completion, all change requests must go through the formal change control process. The correct approach is to evaluate the impact on scope, cost, schedule, and quality before any decision is made. Skipping this step—even with sponsor involvement—can result in unmanaged risk and scope creep.</t>
  </si>
  <si>
    <t>A project is nearing completion when a key stakeholder requests a new feature that could delay the go-live date. What should the project manager do first?</t>
  </si>
  <si>
    <t>A. Add the feature if it increases customer satisfaction
B. Submit a change request and evaluate the impact
C. Inform the stakeholder it’s too late to make changes
D. Ask the sponsor to approve the feature immediately</t>
  </si>
  <si>
    <t>You are managing a project with team members from multiple departments. One department head begins assigning your team members to other work, impacting your schedule. What should you do first?</t>
  </si>
  <si>
    <t>A. Escalate the issue to the project sponsor
B. Meet with the department head to discuss resource commitments
C. Request replacement resources from the PMO
D. Adjust the schedule to reflect the reduced availability</t>
  </si>
  <si>
    <t>When a department head reallocates resources, the project manager should first address the issue directly and professionally by meeting with the department head to reconfirm resource commitments. This supports collaboration and may resolve the issue without escalation. Only escalate or adjust schedules if resolution isn’t possible through discussion.</t>
  </si>
  <si>
    <t>A stakeholder complains that certain deliverables do not meet their expectations, even though they were accepted and signed off earlier. What is the best action the project manager should take?</t>
  </si>
  <si>
    <t>A. Explain that the deliverables were approved and cannot be changed
B. Ask the team to revise the deliverables to meet the stakeholder's expectations
C. Review the approved scope and acceptance criteria with the stakeholder
D. Escalate the issue to the change control board for a formal review</t>
  </si>
  <si>
    <t>When a stakeholder is dissatisfied after formal acceptance, the project manager should review the scope and acceptance criteria that were agreed upon. This reinforces clarity and helps determine whether the issue is a misunderstanding or if a new change request is warranted. It also maintains professionalism and transparency.</t>
  </si>
  <si>
    <t>A project manager is facilitating a risk planning session. One team member suggests a risk response that could introduce new risks to the project. What should the project manager do?</t>
  </si>
  <si>
    <t>A. Reject the proposed response due to added risk
B. Add the new risks to the risk register and assess them
C. Ignore the suggestion and choose a safer alternative
D. Escalate the decision to the sponsor for approval</t>
  </si>
  <si>
    <t>When a risk response potentially introduces secondary risks, the project manager should document and assess them in the risk register. This is standard practice in risk management — new risks must be evaluated, not ignored or rejected outright. Effective project management balances opportunity with awareness of new exposures.</t>
  </si>
  <si>
    <t>Your team is working on a project with evolving requirements. A senior developer begins implementing features without waiting for backlog refinement or approval. What should you do?</t>
  </si>
  <si>
    <t>A. Allow the work if it adds customer value
B. Remind the developer to follow Agile processes and prioritize team alignment
C. Ask the product owner to remove the developer from the team
D. Document the work and treat it as scope expansion</t>
  </si>
  <si>
    <t>Even if the developer’s intentions are good, implementing features without approval violates Agile principles of team collaboration and transparency. The best course is to reinforce Agile processes, such as backlog refinement and team alignment, to avoid misalignment, rework, and scope creep.</t>
  </si>
  <si>
    <t>2:58AM</t>
  </si>
  <si>
    <t>You're managing a large, cross-functional project. Several team members are unclear about their responsibilities, leading to duplicated efforts. What should you do to resolve this?</t>
  </si>
  <si>
    <t>A. Assign tasks manually to each team member
B. Conduct a lessons learned session to identify process gaps
C. Update and communicate the responsibility assignment matrix (RAM)
D. Reduce team size to improve coordination</t>
  </si>
  <si>
    <t>A Responsibility Assignment Matrix (RAM), such as a RACI chart, clarifies who is Responsible, Accountable, Consulted, and Informed for each task or deliverable. Updating and communicating this matrix helps eliminate confusion, prevent duplication, and improve coordination across a large team.</t>
  </si>
  <si>
    <t>A project manager notices that stakeholder engagement is decreasing as the project progresses. What should the project manager do first?</t>
  </si>
  <si>
    <t>A. Send more frequent status reports to all stakeholders
B. Conduct a stakeholder analysis to reassess engagement needs
C. Escalate the issue to the sponsor
D. Hold a mandatory stakeholder meeting</t>
  </si>
  <si>
    <t>When stakeholder engagement drops, the project manager should reassess stakeholder needs and expectations by conducting or updating a stakeholder analysis. This allows for tailored engagement strategies based on current influence, interest, and project phase—rather than simply increasing communication volume.</t>
  </si>
  <si>
    <t>A critical project is using Agile practices in a highly regulated environment. The compliance team insists on detailed documentation at each iteration, but the Agile team resists, citing Agile values. What is the best course of action for the project manager?</t>
  </si>
  <si>
    <t>In a regulated environment, documentation is non-negotiable, but Agile teams value minimal process. The best approach is to facilitate collaboration between the compliance and Agile teams to align on what’s necessary and adapt documentation to serve both compliance and Agile delivery. This supports both compliance and Agile principles without conflict.</t>
  </si>
  <si>
    <t>Midway through a global infrastructure project, political unrest in a key region threatens to halt progress on several deliverables. The project sponsor insists on continuing without adjusting the plan. What should the project manager do first?</t>
  </si>
  <si>
    <t>A. Escalate the issue to the enterprise risk management office
B. Proceed as directed and document the risk in the issue log
C. Perform a risk reassessment and update the risk response plan
D. Rebaseline the project to account for potential delays</t>
  </si>
  <si>
    <t>When external events (like political unrest) introduce new threats, the project manager must perform a risk reassessment to determine the severity and likelihood of the risk. From there, the risk response plan should be updated accordingly. Even if a sponsor insists on continuing, formal risk management is essential to protect the project.</t>
  </si>
  <si>
    <t>You are managing a complex program involving multiple interdependent projects. One of the project managers informs you that delays in their project will impact others. What is the best action for you as the program manager?</t>
  </si>
  <si>
    <t>A. Ask the project manager to crash the schedule to recover lost time
B. Reassess program-level dependencies and adjust the roadmap accordingly
C. Escalate the issue to the program steering committee
D. Replace the project manager with someone more experienced</t>
  </si>
  <si>
    <t>As a program manager, your role is to manage interdependencies across multiple projects. The best approach is to reassess dependencies and adjust the program roadmap, rather than immediately forcing a single project to crash its schedule, which may not be feasible or sustainable. This holistic approach ensures overall program success and balance.</t>
  </si>
  <si>
    <t>PM looks at strategy level, a level higher than looking at the schedule itself. Option A --&gt; looks at Project-level tactic, Too narrow; doesn’t address interdependencies. Option B is more with the Holistic view, which aligned with program manager responsibilities</t>
  </si>
  <si>
    <t>You're managing a project with high political sensitivity. Midway through the project, a senior executive begins exerting influence to change key deliverables without using formal channels. What is the best course of action?</t>
  </si>
  <si>
    <t>A. Escalate the issue to the project sponsor immediately
B. Comply with the executive’s request to protect the project’s visibility
C. Facilitate a meeting to align expectations and reinforce governance processes
D. Allow the changes if they don’t affect scope, cost, or schedule</t>
  </si>
  <si>
    <t>When influential stakeholders bypass governance, the project manager must facilitate a conversation to align expectations and reinforce the importance of formal change processes. This approach protects the integrity of the project, ensures transparency, and reduces risk while maintaining relationships — especially in politically sensitive environments.</t>
  </si>
  <si>
    <t>A project team using Agile is struggling to complete committed work during sprints. Upon investigation, you discover frequent interruptions from other departments. What is the best action the project manager or Scrum Master should take?</t>
  </si>
  <si>
    <t>A. Extend sprint durations to allow more time for interruptions
B. Work with department leads to set boundaries and protect team focus
C. Ask the team to log overtime hours to recover velocity
D. Reduce the team’s workload to a minimal sustainable pace</t>
  </si>
  <si>
    <t>In Agile, protecting the team’s focus and commitment during sprints is crucial. The best course of action is to collaborate with external departments to set clear boundaries, educate them on Agile practices, and create agreements that minimize interruptions. This maintains team velocity and supports sustainable delivery.</t>
  </si>
  <si>
    <r>
      <t xml:space="preserve">Your project involves several third-party vendors. During execution, one vendor misses a critical milestone, jeopardizing downstream activities. What should the project manager do </t>
    </r>
    <r>
      <rPr>
        <b/>
        <sz val="10"/>
        <color rgb="FF000000"/>
        <rFont val="Arial"/>
        <scheme val="minor"/>
      </rPr>
      <t>first</t>
    </r>
    <r>
      <rPr>
        <sz val="10"/>
        <color rgb="FF000000"/>
        <rFont val="Arial"/>
        <scheme val="minor"/>
      </rPr>
      <t>?</t>
    </r>
  </si>
  <si>
    <t>A. Terminate the vendor’s contract and find a replacement
B. Execute the escalation clause defined in the vendor contract
C. Analyze the impact on project constraints and initiate a risk response
D. Assign internal resources to cover the missed milestone</t>
  </si>
  <si>
    <t>Before taking drastic action with a vendor, the project manager should first analyze the impact on scope, schedule, cost, and quality. This analysis informs the best next steps, including whether a risk response (such as escalation or mitigation) is necessary. Reacting without understanding consequences could worsen the situation.</t>
  </si>
  <si>
    <t>A product owner is consistently changing backlog priorities mid-sprint, causing confusion and rework for the development team. What should the Scrum Master do?</t>
  </si>
  <si>
    <t>A. Ask the product owner to submit a change request for each update
B. Remove the product owner from sprint planning activities
C. Coach the product owner on Agile principles and reinforce sprint boundaries
D. Allow the changes if the team agrees to accommodate them</t>
  </si>
  <si>
    <t>In Scrum, the sprint backlog is fixed during the sprint. The product owner can reprioritize before the next sprint, but not mid-sprint. The Scrum Master should coach the product owner on Agile values and reinforce that changing priorities mid-sprint disrupts team focus and reduces predictability and velocity.</t>
  </si>
  <si>
    <t>A project team is using a predictive lifecycle. After months of execution, the client expresses dissatisfaction with the delivered features, claiming they don’t meet their expectations. All work was completed as per the approved requirements. What should the project manager do first?</t>
  </si>
  <si>
    <t>A. Initiate a change request to update the scope
B. Review the scope baseline and acceptance criteria with the client
C. Ask the team to revise the deliverables to improve client satisfaction
D. Escalate the issue to the steering committee</t>
  </si>
  <si>
    <r>
      <t xml:space="preserve">In a </t>
    </r>
    <r>
      <rPr>
        <b/>
        <sz val="10"/>
        <color rgb="FF000000"/>
        <rFont val="Arial"/>
        <scheme val="minor"/>
      </rPr>
      <t>predictive lifecycle</t>
    </r>
    <r>
      <rPr>
        <sz val="10"/>
        <color rgb="FF000000"/>
        <rFont val="Arial"/>
        <scheme val="minor"/>
      </rPr>
      <t xml:space="preserve">, deliverables are built strictly according to the </t>
    </r>
    <r>
      <rPr>
        <b/>
        <sz val="10"/>
        <color rgb="FF000000"/>
        <rFont val="Arial"/>
        <scheme val="minor"/>
      </rPr>
      <t>approved scope and requirements</t>
    </r>
    <r>
      <rPr>
        <sz val="10"/>
        <color rgb="FF000000"/>
        <rFont val="Arial"/>
        <scheme val="minor"/>
      </rPr>
      <t xml:space="preserve">. If the client is dissatisfied despite formal acceptance criteria being met, the project manager should </t>
    </r>
    <r>
      <rPr>
        <b/>
        <sz val="10"/>
        <color rgb="FF000000"/>
        <rFont val="Arial"/>
        <scheme val="minor"/>
      </rPr>
      <t>review the scope baseline and acceptance criteria</t>
    </r>
    <r>
      <rPr>
        <sz val="10"/>
        <color rgb="FF000000"/>
        <rFont val="Arial"/>
        <scheme val="minor"/>
      </rPr>
      <t xml:space="preserve"> to clarify what was agreed upon, identify any misalignment, and determine whether a change is needed.</t>
    </r>
  </si>
  <si>
    <t>Your project is in the execution phase when a key team member resigns unexpectedly. This person holds critical knowledge that hasn’t been documented. What should the project manager do first?</t>
  </si>
  <si>
    <t>A. Escalate the issue to HR and request an immediate replacement
B. Initiate knowledge transfer sessions before the team member leaves
C. Redistribute the work among the remaining team members
D. Update the risk register and flag it as an issue</t>
  </si>
  <si>
    <t>When a key resource resigns, the immediate priority is to capture their knowledge through structured knowledge transfer sessions. This minimizes disruption and ensures continuity. Escalation and reallocation may follow, but preserving critical knowledge is the first step to avoid long-term impact.</t>
  </si>
  <si>
    <t>You are managing a project with a tight deadline and a fixed budget. A senior stakeholder requests a feature enhancement that would require additional time and cost. What is the best action the project manager should take?</t>
  </si>
  <si>
    <t>A. Reject the request due to the fixed constraints
B. Add the feature and compress the schedule to stay on track
C. Initiate a change request and analyze the impact on constraints
D. Ask the team to absorb the work within the current plan</t>
  </si>
  <si>
    <t>Even under tight constraints, any requested change should go through the formal change control process. Initiating a change request and analyzing the impact on scope, time, and cost allows stakeholders to make informed decisions. Skipping this step can lead to uncontrolled scope creep and missed deadlines.</t>
  </si>
  <si>
    <t>During a high-stakes project, a conflict arises between two senior team members over the technical approach. The conflict is escalating and beginning to affect team morale. What should the project manager do first?</t>
  </si>
  <si>
    <t>A. Escalate the issue to the project sponsor for resolution
B. Choose the most efficient technical solution and enforce it
C. Facilitate a conflict resolution session between the team members
D. Document the disagreement and move forward with majority consensus</t>
  </si>
  <si>
    <t>Conflict among senior team members can negatively impact team dynamics and project progress. The project manager should act as a facilitator, encouraging open communication and resolving conflict constructively. This supports collaboration, maintains morale, and aligns with PMI’s emphasis on servant leadership and emotional intelligence.</t>
  </si>
  <si>
    <t>A. Submit the change request to the CCB as the customer will be comfortable absorbing all additional costs.
B. Submit the change request to the CCB and advise the panel to consider rejecting the request due to its impact.
C. Submit the change request to the CCB and explain the reason for the request, including a cost-impact analysis.
D. Submit the change request to show the change as having no impact, then proceed without notifying the CCB.</t>
  </si>
  <si>
    <t>During execution, the customer submits a change request to maintain the project's business value, which has been threatened by a recently implemented government regulatory change. The project manager analyzes the change, which will require 50% of the project deliverable to be reworked and will incur additional costs to the customer.
What should the project manager do?</t>
  </si>
  <si>
    <t>The project manager should document and submit the change request to the Change Control Board (CCB) for review and approval. Since there is a significant cost impact, it’s critical to include a cost-impact analysis as part of the submission.
❌ A is incorrect because the customer’s willingness to absorb the cost doesn’t bypass formal change control procedures.
❌ B is wrong because the project manager shouldn't bias the CCB’s decision.
❌ D is unethical; submitting a misleading change request violates PMI’s Code of Ethics.</t>
  </si>
  <si>
    <t>A newly hired project manager is assigned to a school construction project. The school serves students from surrounding neighborhoods and must be completely energy efficient. The project manager must provide a final report.
How can the project manager determine whether the planned business value was delivered?</t>
  </si>
  <si>
    <t>A. Inspect the approved technical specifications to confirm that they match the final product deliverables.
B. Consult with the team and confirm that the customer was satisfied with the construction of the school.
C. Review the project charter and business case to determine if the deliverables achieved the intended benefits.
D. Demonstrate that the school construction project was delivered on schedule and within budget.</t>
  </si>
  <si>
    <t>To evaluate if business value was delivered, the project manager must refer to the project charter and business case, which define the project’s intended benefits and success criteria.
✅ C directly ties the outcome to the planned business value.
❌ A only confirms technical compliance, not value.
❌ B gives subjective satisfaction, which doesn’t confirm business value.
❌ D focuses on schedule/budget, which aren't reliable indicators of business value.
🧠 Estimated Difficulty: Medium</t>
  </si>
  <si>
    <t>A project manager notices that a critical team member has lost interest in the project.
How should the project manager address this issue?</t>
  </si>
  <si>
    <t>A. Escalate this issue to the human resources (HR) manager.
B. Replace the team member with a more interested team member.
C. Schedule a meeting with the team member to identify the cause.
D. Increase the team member's salary.</t>
  </si>
  <si>
    <t>The first step is to understand why the team member has lost interest. Open communication helps identify the underlying cause, which then allows the project manager to take appropriate action — whether it's motivational, personal, or workload-related.
❌ A and B jump straight to action without understanding the problem.
❌ D assumes money is the motivator, which may not address the real issue.</t>
  </si>
  <si>
    <t>A project manager is assigned to a new project with a team that the project manager knows well and has worked with on several projects. The team's average velocity is eight points per sprint. Another team, currently between projects, helps size the stories. The table below shows the estimated story points for the new features:
Feature	Points
1	24
2	13
3	8
4	21
5	13
The business wants to confirm a delivery date as soon as possible.  Which two actions should the project manager take? (Choose two)</t>
  </si>
  <si>
    <t>A. Explain to the business that the team will need ten sprints to deliver the features.
B. Inform the business that the team that will be doing the work needs to estimate the feature sizes.
C. Set up a meeting between both project teams to understand how their estimation of story sizes works.
D. Explain to the team that the sizing was already done and they will need to deliver the project in 10 sprints.
E. Discuss the business request with the team and determine a solution to plan for a five-sprint schedule.</t>
  </si>
  <si>
    <t>B &amp; C</t>
  </si>
  <si>
    <t>📘 Rationale:
B. The team that will do the work must estimate the effort. Story points reflect a team's unique capacity, so using another team’s estimates may distort sprint planning.
C. Coordination between both teams ensures consistent estimation techniques, avoiding mismatched expectations or commitments.
❌ Why other options are incorrect:
A. You can’t base sprint estimates solely on external team input. The delivery schedule isn't valid without sizing by the actual delivery team.
D. Forcing the team to deliver based on sizing done by another team violates Agile principles.
E. Committing to a five-sprint delivery without reviewing capacity or re-estimating would be premature and unrealistic.</t>
  </si>
  <si>
    <t>A company is transitioning from a predictive to an agile project management approach. The project manager has noticed that team members have valuable ideas on how to improve productivity.
How can the project manager leverage these ideas?</t>
  </si>
  <si>
    <t>A. Make use of project retrospective sessions for discussions and learning.
B. Use iteration planning to discuss and adopt new ways of working.
C. Develop and share guidelines for team training and mentoring.
D. Engage with the product owner to facilitate fast-racking of the transition.</t>
  </si>
  <si>
    <t>Retrospectives are a core agile ceremony designed specifically to reflect, learn, and improve. In a transitioning organization, this ceremony is the ideal venue to gather and act on the team’s productivity-enhancing ideas.
✅ Retrospectives encourage continuous improvement through team input.
❌ B (Iteration planning) is for selecting work for the sprint — not process improvements.
❌ C (Training/mentoring guidelines) is more top-down, and less immediate for leveraging team ideas.
❌ D The Product Owner is not responsible for transition planning; fast-tracking may actually reduce team engagement.</t>
  </si>
  <si>
    <t>Some of the project's materials have been ordered from overseas. The supplier notifies the project team that the materials will not arrive on time due to a customs clearance delay that will affect the critical path.
What should the project manager do first?</t>
  </si>
  <si>
    <t>Delays from overseas suppliers — especially due to customs — are a known and predictable risk. If the project was well-planned, this situation should already be in the risk register, along with a predefined response plan. The PM's first step is to refer to that plan and execute the response.
❌ A may not be feasible due to uncontrollable customs regulations.
❌ C is irrelevant — the root cause is already known and bid documents are not relevant at this stage.
❌ D makes assumptions about contract terms and is reactive, not proactive.</t>
  </si>
  <si>
    <t>A. Ask the logistics team to arrange an expedited clearance.
B. Revisit the risk register and implement the respective risk response.
C. Identify the root cause of the delay and add it to the bid documents.
D. Ensure the suppliers cover any additional costs due to the delay.</t>
  </si>
  <si>
    <t>A team is transitioning from a predictive to an agile approach.
Which two obstacles are the team most likely to encounter? (Choose two)</t>
  </si>
  <si>
    <t>A. Management provides freedom for the team to decide.
B. Management continues to control the processes of delivery.
C. Management would like the team to learn and adapt.
D. Management support is lacking for team empowerment.
E. Management expects the team to keep their performance level.</t>
  </si>
  <si>
    <t>B, D</t>
  </si>
  <si>
    <t>When transitioning from predictive to agile, two of the most common and critical obstacles are:
Top-down control: Agile requires self-organizing teams, but management may struggle to let go of controlling delivery processes (B).
Lack of support for empowerment: Agile thrives on empowered teams, yet organizations often fail to provide the necessary autonomy and support (D).
❌ C (Management wants the team to learn and adapt) is supportive, not an obstacle.
❌ A is also supportive, not obstructive.
❌ E could be challenging, but it's not a top-level obstacle compared to lack of empowerment or continued control.</t>
  </si>
  <si>
    <t>Your project involves significant data privacy risks. During execution, a new regulation is introduced that affects how customer data must be handled. What should the project manager do first?</t>
  </si>
  <si>
    <t>A. Pause all data-related work until legal provides guidance
B. Update the risk register and inform the data compliance team
C. Submit a change request to modify the project scope
D. Assess the regulation’s impact on project deliverables and compliance obligations</t>
  </si>
  <si>
    <t>❌ Why Not B:
B. Update the risk register and inform the data compliance team
While this step will eventually need to happen, it should not be the first action. Here's why:
You can’t properly update the risk register or inform others about the implications until you know what the regulation actually impacts.
You must first analyze how the new regulation affects your project’s scope, schedule, budget, and deliverables — especially if the regulation introduces legal or operational constraints.
If you jump to documenting or informing without understanding the impact, your communication may be inaccurate or premature.
✅ Why D is Correct:
D. Assess the regulation’s impact on project deliverables and compliance obligations
This is a PMI-aligned approach and the correct first step because:
It’s part of change management and environmental analysis.
It ensures that any downstream decisions — such as risk updates, change requests, or legal consultations — are informed by actual impact analysis.
PMI emphasizes evaluating external environment changes (like regulations) as a key part of adaptive and responsive project management.</t>
  </si>
  <si>
    <t>A major component of your project was outsourced to a vendor. During quality inspection, the team finds that the deliverable doesn’t meet agreed-upon standards. What should the project manager do first?</t>
  </si>
  <si>
    <t>A. Escalate the issue to the procurement department
B. Request the vendor to redo the work at no additional cost
C. Review the contract to determine the quality obligations and remedies
D. Withhold payment until the issue is resolved</t>
  </si>
  <si>
    <t>When a vendor deliverable fails to meet quality standards, the first step is to review the contract to understand what was agreed upon in terms of quality requirements, acceptance criteria, and remedies. This ensures any further action—like rework, withholding payment, or escalation—is backed by contractual obligations.</t>
  </si>
  <si>
    <t>You're managing a multi-phase project with multiple stakeholders. During phase two, new stakeholders join and begin questioning previously approved requirements. What is the best action for the project manager?</t>
  </si>
  <si>
    <t>A. Reopen phase one to accommodate the new stakeholders' input
B. Inform them that changes must wait until the next project phase
C. Review the change control process and invite them to submit change requests
D. Escalate the concerns to the steering committee for resolution</t>
  </si>
  <si>
    <t>When new stakeholders challenge previously approved requirements, the project manager should enforce governance by directing them to the formal change control process. This ensures that any adjustments are properly evaluated for impact before being accepted — preserving project stability and accountability.  
❌ Why Not B:
B. Inform them that changes must wait until the next project phase
At first glance, this seems practical: avoid disrupting the current phase, keep momentum, and defer changes. However:
It dismisses legitimate stakeholder concerns, which can damage engagement or trust.
It does not follow proper change management practices, especially if their requests could impact project value.
It assumes the changes must be delayed without assessing impact or urgency.
PMI emphasizes being responsive and transparent, not deflective.
While deferring changes may eventually be the right path, that decision should come after evaluation, not by default.
✅ Why C is Correct:
C. Review the change control process and invite them to submit change requests
This option:
Acknowledges the new stakeholders and respects their input.
Maintains project governance by applying the formal change control process.
Enables impact analysis before making a decision — including deferring to a later phase if appropriate.
Ensures that decisions are documented, reviewed, and aligned with project objectives and constraints.
This aligns with PMI’s key concepts of:
Change control
Stakeholder engagement
Transparent decision-making</t>
  </si>
  <si>
    <t>Your project is operating in a matrix organization. A functional manager reassigns one of your key team members to another project without consulting you. What is the best action to take?</t>
  </si>
  <si>
    <t>A. Escalate the issue to the project sponsor
B. Submit a formal resource change request
C. Meet with the functional manager to discuss the impact and negotiate a solution
D. Reassign the work internally and move forward</t>
  </si>
  <si>
    <t>In a matrix organization, resources are shared between projects and functional departments. The project manager should collaborate with the functional manager to discuss the impact of the reassignment and negotiate a solution. This approach maintains relationships, respects organizational structure, and helps ensure project continuity.</t>
  </si>
  <si>
    <t>A critical stakeholder has recently become unresponsive during project meetings and decision reviews. Their input is essential for upcoming milestones. What should the project manager do first?</t>
  </si>
  <si>
    <t>A. Escalate to the sponsor to re-engage the stakeholder
B. Send daily reminders until the stakeholder responds
C. Review and adjust the stakeholder engagement plan
D. Proceed with decisions and document their absence</t>
  </si>
  <si>
    <t>When a key stakeholder becomes disengaged, the project manager should first review the stakeholder engagement plan to determine if expectations, communication strategies, or engagement levels need to be revised. This is a proactive and respectful approach that helps re-engage stakeholders without escalating prematurely.</t>
  </si>
  <si>
    <t>You're leading a project in a highly dynamic environment where requirements change frequently. Senior management expects high transparency and rapid delivery. What is the most appropriate project management approach?</t>
  </si>
  <si>
    <t>A. Predictive lifecycle with detailed upfront planning
B. Hybrid approach combining waterfall for planning and Agile for delivery
C. Agile approach with frequent iterations and continuous stakeholder feedback
D. Use rolling wave planning and treat changes as scope creep</t>
  </si>
  <si>
    <t>In a dynamic environment with frequent changes and a need for transparency and speed, the best fit is an Agile approach. Agile delivers value iteratively, incorporates continuous feedback, and supports rapid adaptation — all of which align with the demands of fast-changing environments and engaged stakeholders.</t>
  </si>
  <si>
    <t>A project manager receives a vague request from a key stakeholder that could significantly impact the project scope. What should the project manager do first?</t>
  </si>
  <si>
    <t>A. Log the request as a change and submit it for review
B. Ask the stakeholder to clarify the request before taking action
C. Reject the request until it's formally submitted
D. Escalate the request to the sponsor for guidance</t>
  </si>
  <si>
    <t>Before any action can be taken, the project manager must clarify the stakeholder's request to ensure it is fully understood. Acting on vague input risks misinterpretation, scope creep, or wasted effort. Clear communication is the foundation of effective stakeholder engagement and change control.</t>
  </si>
  <si>
    <t>You are managing a large IT transformation project. Several senior stakeholders are pushing for conflicting priorities. What is the best course of action?</t>
  </si>
  <si>
    <t>A. Escalate the conflict to the steering committee
B. Prioritize based on the project charter and proceed
C. Facilitate a stakeholder alignment workshop to resolve differences
D. Follow the most influential stakeholder's direction</t>
  </si>
  <si>
    <t>When stakeholders have conflicting priorities, the project manager should act as a facilitator, bringing them together in a structured setting like a stakeholder alignment workshop. This encourages open dialogue, alignment with project goals, and collaborative resolution — far better than unilateral decisions or escalation as a first step.</t>
  </si>
  <si>
    <t>PMI Study Hall</t>
  </si>
  <si>
    <t>During project execution, the project manager realizes that a team member is not completing tasks in accordance with the project management plan. What is the first action the project manager should take?</t>
  </si>
  <si>
    <t>A. Build a matrix team to review the relationships on all project teams.
B. Ask all the team members to focus more on the project.
C. Reassign the uncompleted tasks to another team member.
D. Engage the team member to determine the reasons for poor performance.</t>
  </si>
  <si>
    <t>Project manager must identify changes in the behavior of each team member and help them to achieve the goals of the project.
The other answer choices are incorrect. There is no indication that the team is matrixed or non-matrixed. This has no bearing on an individual's performance. Asking other team members to focus on the task or adding team members may not be the most efficient means to accomplish the task.
This question and rationale were developed in reference to:
O’Reilly Platform (No Date) /// [Item https://learning.oreilly.com/library/view/program-management-leadership/9781466577107/chapter-44.html
 — communicating honestly and openly with the team is a critical success factor]
O’Reilly Platform (No Date) /// 83 [Item Reference source: Kindle cloud reader — The Project Management Tool Kit: Maintain an effective matrix]</t>
  </si>
  <si>
    <t>Promote Team Performance through the application of emotional intelligence</t>
  </si>
  <si>
    <t>Topic</t>
  </si>
  <si>
    <t>Assess and Manage Risks</t>
  </si>
  <si>
    <t>1 - Easy</t>
  </si>
  <si>
    <t>A technology project for a multinational bank is in the testing stage. The project manager learns that a security breach has exposed the personal data of thousands of end users. The project sponsor suspends work while the cause is investigated. The threat of a security breach was identified during the risk management planning process, and the impact is significant.
**What should the project manager do?**</t>
  </si>
  <si>
    <t>A. Refer to the stakeholder engagement plan to determine the risk owner.  
B. Perform a decision tree analysis to calculate the optimal path to resolution.  
C. Meet with the project sponsor to negotiate a new requirements management plan.  
D. Update the issue log and review the risk response strategy outlined in the risk register.</t>
  </si>
  <si>
    <t>**Solution: D.** Update the issue log and review the risk response strategy outlined in the risk register.
The correct answer is to update the issue log and review the risk response strategy outlined in the risk register.
Before taking action, the issue must be documented in the issue log and the risk register must be reviewed to determine how to respond to this issue. When threats occur, they are called **issues** and are listed in the issue log. An issue log is used to record and monitor information on active issues. Since the threat of a data breach has occurred, it must be documented in the issue log.
The project manager must also review the **risk register**. A risk register is a repository in which outputs of risk management processes are recorded. Information in a risk register can include the person responsible for managing the risk, probability, impact, risk score, planned risk responses, and other information used to get a high-level understanding of individual risks. The risk of the breach was identified; therefore, the risk register should contain information on the agreed-upon risk response strategy and other related information.
Referring to the stakeholder engagement plan to determine the risk owner is incorrect because the risk owner is documented in the **risk register**. A stakeholder engagement plan is a component of the project management plan that identifies the strategies and actions required to promote the productive involvement of stakeholders in project or program decision making and execution.
Performing a decision tree analysis is incorrect because it is a **risk analysis tool** that should have been conducted when the team was analyzing risks. A decision tree analysis is a diagramming and calculation method for evaluating the implications of a chain of multiple options in the presence of uncertainty. The output of this analysis would be recorded in the risk register.
Meeting with the project sponsor to negotiate a contingency plan is incorrect because the contingency plan must have been available in the risk register.
**References**
- *The Project Management Tool Kit: 100 Tips and Techniques for Getting the Job Done Right* (Amacom, no date), pp. 10, 23–25.  
- *PMBOK® Guide – Seventh Edition* (2022)  
  - [2.8.5.1 Threats]  
  - [4.6.2 Logs and Registers]  
  - [4.4.1 Data Gathering and Analysis]</t>
  </si>
  <si>
    <t>During the development phase of a construction project, key stakeholders approved a project budget. The team identified risks and appropriate risk responses. However, during project execution, an unexpected local health emergency halted and delayed work on the project. This event type was not identified as a risk or listed in the risk register. The team decides that this issue must be mitigated, which would incur additional costs. How should the project manager address this unforeseen budgetary overrun?</t>
  </si>
  <si>
    <t>A. Use the management reserve to cover the cost.
B. Identify potential ways to exploit the risk.
C. Use the contingency reserve to cover the cost.
D. Develop cost and performance baselines.</t>
  </si>
  <si>
    <t>The correct answer is to use the management reserve to cover the cost.
Since the health emergency was unforeseen, the management reserve would be the appropriate resource to cover the cost or mitigation. A management reserve is the amount of the project budget or project schedule held outside of the performance measurement baseline for management control purposes that is reserved for unforeseen work that is within the project scope.
Risk exploitation addressed opportunities, not threats. Risk exploitation is a response strategy whereby the project team acts to ensure that an opportunity occurs. Further, the question states that the issue must be mitigated, so the risk response has already been determined.
A contingency reserve is the time or money allocated in the schedule or cost baseline for known risks with active response strategies. This option is incorrect because the risk was not known.
The cost baseline is the approved version of the time-phased project budget, excluding any management reserves, which can be changed only through formal change control procedures and is used as a basis for comparison to actual results.
This question and rationale were developed in reference to:
PMBOK Guide Seventh Edition (2022) /// [2.4.2.4 Budget] [2.8.5.1 Threats] [2.8.5.3 Management and Contingency Reserve]</t>
  </si>
  <si>
    <t>A project manager learned that the project deliverables will not meet the quality requirements unless a change is made to a component. After issuing a formal change request, the project manager emailed details of the change to all stakeholders. Most stakeholders received the information promptly and are fully aware of the change. However, the project manager finds out that some stakeholders did not receive the email or did not read it. What could the project manager have done to prevent this?</t>
  </si>
  <si>
    <t>A. Reviewed the communications management plan.
B. Developed a detailed work performance report.
C. Met with the project sponsor to discuss communication.
D. Questioned the stakeholders about technological literacy.</t>
  </si>
  <si>
    <t>The correct answer is to review the communications management plan.
A communications management plan is a component of the project, program, or portfolio management plan that describes how, when, and by whom information about the project will be administered and disseminated. Communication is the most important factor in engaging with stakeholders effectively. Project success is dependent on effective communication and the communication medium used influences the effectiveness of communication. Before deciding to send emails to all stakeholders, the project manager should have first reviewed the communications management plan to confirm that email communication is effective for all stakeholders. Typically, preferred communication methods vary from stakeholder to stakeholder, based on a multitude of factors.
The other options are incorrect because they do not preemptively address the core issue. In this case, some stakeholders had no problems with the emails. For others, email was clearly not the most effective way to communicate. The project manager could have avoided the confusion by reviewing the communications management plan and disseminating the information in the stakeholders’ preferred medium.
This question and rationale were developed in reference to:
PMBOK Guide Seventh Edition (2022) /// [4.2.2 COMMUNICATION MODELS]</t>
  </si>
  <si>
    <t>A project manager has been made aware of a recent weather event that could potentially impact the project. Forecasters are unable to predict the path or strength of the event. Any delays would extend the project's finish date and cause cost overruns.
What should the project manager do first?</t>
  </si>
  <si>
    <t>A. Notify the stakeholders and revise the budget.
B. Take preventive action based on new information.
C. Check the risk register for more risk information.
D. Record information about the event in the issue log.</t>
  </si>
  <si>
    <t>The correct answer is to check the risk register for more information.
Before doing anything, the project manager should review the risk register. A risk register is a repository in which outputs of risk management processes are recorded. It is important to check whether or not the risk had been identified during the planning process, or if it is an emergent risk. If the risk was previously identified, the risk register would have the information needed to address the risk. Information in a risk register can include the person responsible for managing the risk, probability, impact, risk score, planned risk responses, and other information used to get a high-level understanding of individual risks. From there, the project manager can address the risk appropriately.
The other answers are incorrect because the risk register should be reviewed before making any revisions or taking preventative actions. An issue log is used to record and monitor information on active issues, and the event has not occurred yet, and may not occur.
This question and rationale were developed in reference to:
PMBOK Guide Seventh Edition (2022) /// [4.6.2 LOGS AND REGISTERS] [3.10 OPTIMIZE RISK RESPONSES]</t>
  </si>
  <si>
    <t>A project manager completed plans for a project and submitted all documents for approval but did not allocate time for delays in obtaining approvals. In addition to selecting a risk owner to address this potential risk, what should the project manager have done?</t>
  </si>
  <si>
    <t>A. Asked the risk owner to escalate with approvers so that approvals are obtained as soon as possible.
B. Adjusted the project plans by lowering work completion estimates so that the work can be completed on time despite the delay.
C. Developed specific actions to implement the agreed-upon risk response strategy, including primary and backup strategies.
D. Used a real options analysis to perform an economic analysis of alternative risk response strategies.</t>
  </si>
  <si>
    <t>The correct answer is developed specific actions to implement the agreed-upon risk response strategy, including primary and backup strategies. In situations where there are only a few possible outcomes from an area of uncertainty, the project team can prepare for each of those outcomes. This entails having a primary solution available, as well as having backup or contingency plans in case the initial solution is not viable or effective. Where there is a large set of potential outcomes, the project team can categorize and assess the potential causes to estimate their likelihood of occurrence. This allows the project team to identify the most likely potential outcomes on which to focus.
The other options are incorrect because they are reactionary and the question asks what would have been done in addition to selecting a risk owner to address this potential risk.
This question and rationale were developed in reference to:
PMBOK Guide Seventh Edition (2022) /// [2.8.5.1 Threats]
PMBOK® Guide—Fifth Edition (5th) PMI/PMI/Section 11.5.2 Plan Risk Responses: Tools and Techniques, Page 343 [Item]
Prac Stnd for Proj Risk Management (Jul 1 2009 12:00AM) Project Management Institute/Project Management Institute // Ch 5.4 Documenting the Results of the Identify Risks Process, Page 29 [Item]</t>
  </si>
  <si>
    <t>3 - Difficult</t>
  </si>
  <si>
    <t>A project manager is conducting risk identification based on high-level scope and expert judgement.
What information in the project charter could support risk identification?</t>
  </si>
  <si>
    <t>A. Summary of project roles and responsibilities
B. Detailed requirements and scope
C. Project communication matrices
D. Stakeholder interest</t>
  </si>
  <si>
    <t>The Project Charter summarizes high-level information about project and product. It includes a general risks list developed using expert judgement technique. Individuals experienced in similar projects or area, familiar with source of risks, or individuals familiar with how the organization approaches risks, can contribute to the risk identification process.
Summary of project roles and responsibilities does not address the question, and would not be in the charter.
Detailed requirements and scope would not be in the charter. The charter would be at a higher level and not detailed.
Project communication matrices do not address the question, and would not be in the charter.
This question and rationale were developed in reference to:
PMBOK Guide Sixth Edition, 6th edition (2017) PMI/PMI/11/404 [Item 11.1.2.1 Opinião Especializada]
PMBOK Guide Sixth Edition, 6th edition (2017) PMI/PMI/4/79 [Item 4.1.2.1 Opinião Especializada]
PMBOK® Guide—Fifth Edition (5th) PMI/PMI/4.1 Develop Project Charter. Pg. 66 [Item]
Proj Managers Portable HB, 3rd Ed (3rd) David I Cleland and Lewis R Ireland/McGraw Hill Companies, Inc. // Chapter 6 Project Initiation and Execution. 6.1.6 Other Factors. Pg. 225. [Item]
Project Managers Portable Handbook, 3rd Ed (2010) // 7.1.5 Sequence of Planning Actions [Item]</t>
  </si>
  <si>
    <t>A supplier of a critical component for a construction project notifies the project manager that the component will be significantly late. Because this risk had been identified during project planning, the cost baseline contains an adequate contingency reserve.
What should the project manager do next?</t>
  </si>
  <si>
    <t>A. Review the risk response plan and the statement of work for the next steps and a penalty clause for late delivery.
B. Order the component from another supplier and submit a change request to the change control board (CCB).
C. Identify a supplier that can provide the component within the amount of the reserve.
D. Update the project schedule and the lessons learned repository.</t>
  </si>
  <si>
    <t>Realizing that project delivery is the prime focus, the project manager needs to assess alternatives without concern for the potential budget impact. Once a viable alternative is identified, they can present their case to the sponsor for a decision. So, identifying a supplier that can provide the component within the amount of reserve is the right choice.
Ordering the component from another supplier without considering the reserve is not the right choice. Updating the project schedule and reviewing the statement of work for late delivery won’t solve the current situation. That is equal to accepting the project delay.
This question and rationale were developed in reference to:
PMBOK Guide Sixth Edition (2018) PMI/PMI/12/465 [Item]
The Project Management Tool Kit: 100 Tips and Techniques for Getting the Job Done Right (No Date) / Amacom / 26/60 [Item]</t>
  </si>
  <si>
    <t>A, D</t>
  </si>
  <si>
    <t>What tools or techniques are suitable for monitoring risks? (Choose 2)</t>
  </si>
  <si>
    <t>A. Data analysis
B. Affinity grouping
C. Risk transference
D. Risk audits</t>
  </si>
  <si>
    <t>The correct answer is data analysis and risk audits.
Monitoring risks provides the assurance that risk responses are being applied, verifies whether they are effective, and, as necessary, initiates corrective actions. Periodic audits should be performed to determine strengths and weaknesses in handling risks within the project. Data should be analyzed and documented throughout the risk management process. Audit measurements and data analysis provide a reliable understanding of the status of risks.
The other answer choices are incorrect. Affinity grouping involves classifying items into similar categories or collections on the basis of their likeness. Common affinity groupings include T-shirt sizing and Fibonacci numbers. Risk transference is a risk response strategy whereby the project team shifts the impact of a threat to a third party, together with ownership of the response.
This question and rationale were developed in reference to:
PMBOK Guide Sixth Edition (2018) PMI/PMI// [Item]
The Standard for Risk Management in Portfolios, Programs, and Projects, 2019 [X67 MONITOR RISKS]</t>
  </si>
  <si>
    <t>A project manager learns that in-house resources are insufficient to produce a critical component of a deliverable. This poses a significant threat. The quality of the component is integral to the project, and the in-house resources cannot guarantee high-quality output. In response to this threat, the project manager decides to outsource the production of the component by contracting a third-party vendor.
Which threat response strategy did the project manager use?</t>
  </si>
  <si>
    <t>A. Accept
B. Mitigate
C. Enhance
D. Escalate</t>
  </si>
  <si>
    <t>A threat is an event or condition that, if it occurs, has a negative impact on one or more objectives. In threat mitigation, action is taken to reduce the probability of occurrence and/or impact of a threat. Early mitigation action is often more effective than trying to repair the damage after the threat has occurred. The project manager acted to reduce the probability of the threat associated with the development of a project-critical component.
The other answers are incorrect because they do not align with this situation.
Threat acceptance acknowledges the existence of a threat, but no proactive action is planned.
Enhancement refers to opportunities, not threats. In opportunity enhancement, the project team acts to increase the probability of occurrence or impact of an opportunity.
Escalation is appropriate when the project team or the project sponsor agrees that a threat is outside the scope of the project or that the proposed response would exceed the project manager’s authority.
This question and rationale were developed in reference to:
IT Project Management, 7th Ed. (7th) Kathy Schwalbe // Chapter 11, p. 467 [Item]
PMBOK Guide Seventh Edition (2022) /// [2.8.5.1 Threats]</t>
  </si>
  <si>
    <t>A project sponsor is risk averse and is therefore concerned about negative impacts on the project. To help with this concern, the project team identifies four project risks and then evaluates both the probability of occurrence and the impact of the risk if it occurs. The team uses a 1–5 scale, 1 being the lowest and 5 being the highest.
Risk table:
Risk A – Probability: 3, Impact: 3
Risk B – Probability: 5, Impact: 1
Risk C – Probability: 2, Impact: 4
Risk D – Probability: 4, Impact: 4
Based on the table, in what order should the project manager rank these risks (high to low) for risk management purposes?</t>
  </si>
  <si>
    <t>A. B, A, D, C
B. B, C, A, D
C. D, A, C, B
D. C, D, A, B</t>
  </si>
  <si>
    <t>Risk severity is the product of probability and impact; the higher the product, the higher the risk is rated.
In order, the values are:
Risk D: 4 × 4 = 16
Risk A: 3 × 3 = 9
Risk C: 2 × 4 = 8
Risk B: 5 × 1 = 5
This being the case, C is the correct answer.
This question and rationale were developed in reference to:
PMBOK Guide Sixth Edition (2018) PMI/PMI/11.1.3.1/ [Item]
PMBOK Guide Sixth Edition (2018) PMI/PMI/11.5.2.9/ [Item]
Project Manager’s Portable Handbook, 3rd Ed (2015) David I. Cleland and Lewis R. Ireland/McGraw Hill Companies, Inc./7.5.5/307–308 [Item]</t>
  </si>
  <si>
    <t>A project is in the execution phase, and product testing is almost complete. A team member proposes that the testing can be fast-tracked by removing some of the tests. The team member believes this will help to finish the job earlier and give the project more float.
What should the project manager do?</t>
  </si>
  <si>
    <t>A. Request more information from the team member.
B. Reject the team member's proposal.
C. Discuss this proposal with the project team.
D. Ask the quality manager to consider the proposal.</t>
  </si>
  <si>
    <t>Removing certain tests is a risky move, and can't be done just to fast-track the project. The project manager should have considered all tests while assigning time for the testing phase. If the project is progressing as per the assigned time, no review of tests is needed, and the proposal should be rejected.
This question and rationale were developed in reference to:
Fundamentals of Technology Project Management, 2nd Ed (2015) Colleen Garton, Erika McCulloch/Mc Press/11/400 [Item]
PMBOK Guide Sixth Edition (2018) PMI/PMI/8/293 [Item]</t>
  </si>
  <si>
    <t>The correct answer is risk-averse, risk-neutral, risk-tolerant, and risk-seeking.
Risk attitude is a disposition toward uncertainty, adopted explicitly or implicitly by individuals and groups, driven by perception, and evidenced by observable behavior. The correct answer is therefore the one that cites the averse, neutral, tolerant, and seeking attitudes towards risk as a characteristic of the stakeholders. The stakeholder register contains details of the project's stakeholders and provides an overview of their project roles and their attitude toward risk on the project. Risk attitude information is useful in determining roles and responsibilities for managing risk on the project, as well as setting risk thresholds for the project. Conservative, moderate, and liberal are not risk attitudes. Risk-mitigating, risk-avoiding, risk-transferring, and risk-accepting are risk response strategies. High, medium, and low are gradients that can be used for qualitative risk assessment. Positive, negative, and indifferent are not risk attitudes.
This question and rationale were created in reference to: PMBOK 6th ed. / par. 11.1.1.3 PMBOK 6th ed. / par. 11.5.2.4 e-Reads // Practical Project Risk Management: Atom methodology, figure 2-5 [Item] e-Reads // Risk and Decision Analysis in Projects, 2nd edition, Glossary, risk attitude [Item].</t>
  </si>
  <si>
    <t>A. Conservative, moderate, and liberal
B. Risk-averse, risk-neutral, risk-tolerant, risk-seeking
C. Risk-mitigating, risk-avoiding, risk-transferring, risk-accepting
D. High, medium, and low
E. Positive, negative, and indifferent</t>
  </si>
  <si>
    <t>Which of the following represents levels of risk attitude?</t>
  </si>
  <si>
    <t>When it said it doesn't meet the "standards" --&gt; this implies "Quality Planning". From PMBOK 6th edition</t>
  </si>
  <si>
    <t>identify all tools use to quatify Quality</t>
  </si>
  <si>
    <t>Plan &amp; Manage Quality of Products/deliverables</t>
  </si>
  <si>
    <t xml:space="preserve">You need to leverage CCB to help fix a problem. Typically you don't have to go to CCB, but because you are closing out the project, you can't change anymore so you MUST go through CCB to change it. </t>
  </si>
  <si>
    <t>The client agreed to the standards that would be used to assess final deliverables prior to hand-off, but is now asking for improvements because the deliverables do not meet the standards. Which document should the project manager consult to resolve this issue?</t>
  </si>
  <si>
    <t>A. Scope management plan
B. Quality management plan
C. Requirements documentation
D. Project charter</t>
  </si>
  <si>
    <t>A. Flowcharts
B. Affinity diagram
C. Control chart
D. Histogram</t>
  </si>
  <si>
    <t>A. Negotiate additional contract with customer for similar service.
B. Schedule meeting with stakeholders and customer to discuss lessons learned.
C. Evaluate project deliverables and review customer feedback documents.
D. Audit project success by reviewing closing documentation for each project phase.</t>
  </si>
  <si>
    <t>A project manager is working with stakeholders to identify the steps that must be completed as part of a task. The project manager needs to be able to verify that team members have completed all the steps required when performing a frequently performed task.
What should the project manager use?</t>
  </si>
  <si>
    <t>A. Flowchart
B. Checklist
C. Histogram
D. Facilitation</t>
  </si>
  <si>
    <t>A. The test management plan would have evaluated the deliverable according to quality metrics before final acceptance.
B. Quality metrics specified in the work breakdown structure (WBS) would have identified compliance specifications.
C. Quality metrics would have described the attributes of the deliverable and how to measure them.
D. Quality metrics in the requirements plan would have allowed for a new procurement process in case of component failure.</t>
  </si>
  <si>
    <t>A customer is concerned that the current project deliverable will not fulfill stated project requirements. What could be done to alleviate customer concerns?</t>
  </si>
  <si>
    <t>A. Schedule a meeting to remind the customer of requirements previously communicated to the team.
B. Document the customer's concern as a risk in the risk register and plan accordingly.
C. Manage the concern at the review of each deliverable with the customer.
D. Ask a product owner to review the acceptance criteria previously discussed with the customer.</t>
  </si>
  <si>
    <t>PMI Practice Exam #1</t>
  </si>
  <si>
    <t>A country implements new labor laws with specific requirements for labor health and safety.
The company's existing procedures haven't been updated yet, but management informed all project managers of the regulations.
What should the project managers do first?</t>
  </si>
  <si>
    <t>A. Review the possible impacts of the updated regulations on their projects.
B. Update their project risk register for emerging risks.
C. Request that the human resources department update the procedures.
D. Ask the corporate office for advice on how to define the best course of action.</t>
  </si>
  <si>
    <t>Solution: A. Review the possible impacts of the updated regulations on their projects.
By prioritizing a thorough review of the regulations' impact, the project manager takes a proactive and informed approach to ensuring project success under the new legal landscape. This demonstrates critical thinking, risk management, and leadership skills.
The other answer choices are not as effective. While risk identification is important, updating the register should be based on a comprehensive understanding of the regulations' impact. While HR will eventually update procedures, the project manager needs to identify the specific impacts first to ensure efficient resource allocation and avoid unnecessary work. Consulting a corporate office can be valuable later, but the initial step should be a project-specific analysis to avoid unnecessary escalations and delays.</t>
  </si>
  <si>
    <t>O'Reilly Platform //2// [Item Managing Health, Safety and Working Environment, Chapter 2]
PMBOK Guide Sixth Edition (2018) PMI/PMI/2.2.2/39 [Item]</t>
  </si>
  <si>
    <t>A project manager has been assigned to lead a cross-functional project team. During a brainstorming session, the project manager realizes that some team members do not see the need for a change, and this is affecting the team's output.
What should the project manager do?</t>
  </si>
  <si>
    <t>A. Restate the objectives of the project to the team.
B. Ask the project sponsor to review the project charter.
C. Engage team members to understand their doubts and get their buy-in.
D. End the brainstorming session and adopt interview methods.</t>
  </si>
  <si>
    <t>Solution: C. Engage team members to understand their doubts and get their buy-in.
By engaging team members to understand their doubts and get their buy-in, the project manager can address team members' concerns and get them on board with the project. This will help to improve the team's output and increase the chances of the project being successful.
The other answer choices are not as effective. Restating the objectives of the project to the team may not be enough to convince team members who do not see the need for change. Asking the project sponsor to review the project charter may not be helpful, as the project charter may not address the specific reasons why some team members do not see the need for change. Ending the brainstorming session and adopting interview methods may be necessary in some cases, but it is not the best course of action in the first instance. It is important to try to engage team members and get their buy-in before moving on to other methods.</t>
  </si>
  <si>
    <t>To avoid this, the project manager should have adopted all of the following measures, except which?</t>
  </si>
  <si>
    <t>A. Changing the message to suit the context
B. Adhering to the existing communication method
C. Tailoring the communication style
D. Reassessing the need for communication
E. Validating the quality of the business proposal</t>
  </si>
  <si>
    <t>To avoid miscommunication and increase project success, the project manager should adopt effective communication tailored to stakeholder needs. This includes changing the message to suit the context and validating quality. 'Adhering to existing methods' is what they failed at.</t>
  </si>
  <si>
    <t>Difficult</t>
  </si>
  <si>
    <t>Which of the following could have been better used by ABC’s project manager to increase the chances of successfully obtaining the contract?</t>
  </si>
  <si>
    <t>A. Monitoring the market landscape for the need for electric conductors
B. Appointing a project manager with relevant domain knowledge of the project
C. Effectively analyzing and tailoring stakeholder communication methods
D. Launching the product in multiple geographical locations at the same time
E. Conducting a brainstorming session with stakeholders at project inception</t>
  </si>
  <si>
    <t>The project manager should have tailored stakeholder communication methods to better demonstrate product value. This would have increased the chance of contract success.</t>
  </si>
  <si>
    <t>Easy</t>
  </si>
  <si>
    <t>Where should project documentation such as videos, pictures, audio be placed to ensure sharing of project experiences?</t>
  </si>
  <si>
    <t>A. Lessons learned register
B. Knowledge sharing register
C. Risk register
D. Issue log</t>
  </si>
  <si>
    <t>Lessons learned register includes knowledge sharing (including pictures, videos, audios) and serves as an input/output to many processes to improve efficiency.</t>
  </si>
  <si>
    <t>Moderate</t>
  </si>
  <si>
    <t>During an iteration, the team spent twice as much time as expected because one of the product backlog items was complex and could not be split into smaller items. What should the project manager do?</t>
  </si>
  <si>
    <t>A. Adaptive approach  
B. Predictive approach  
C. Risk management plan  
D. Reprioritize product backlog</t>
  </si>
  <si>
    <t>The PO should reprioritize. Other actions don’t directly address the immediate complexity and delay.</t>
  </si>
  <si>
    <t>—</t>
  </si>
  <si>
    <t>A cross-functional project team is not aligned on the need for change. What should the PM do?</t>
  </si>
  <si>
    <t>A. Restate objectives  
B. Ask sponsor to review charter  
C. Understand doubts, get buy-in  
D. End session and interview</t>
  </si>
  <si>
    <t>Engaging the team fosters buy-in and better outcomes. Others delay or deflect the issue.</t>
  </si>
  <si>
    <t>New labor laws were announced. What should project managers do first?</t>
  </si>
  <si>
    <t>A. Review impacts of regulations  
B. Update risk register  
C. Ask HR to update procedures  
D. Ask corporate office for advice</t>
  </si>
  <si>
    <t>Assessing project-specific impacts comes before broader organizational or procedural updates.</t>
  </si>
  <si>
    <t>A customer is upset due to unresolved critical issue. What TWO actions should be taken?</t>
  </si>
  <si>
    <t>A. Escalate for technical help  
B. Explain with action plan  
C. Keep working on backlog  
D. Update logs  
E. Set new release date</t>
  </si>
  <si>
    <t>A and B</t>
  </si>
  <si>
    <t>Address both technical root cause and customer communication.</t>
  </si>
  <si>
    <t>Retrospective reveals unresolved issues harming velocity. How should the PM respond?</t>
  </si>
  <si>
    <t>A. Ensure standups are attended  
B. Document for later  
C. Extend standups  
D. Escalate to sponsor</t>
  </si>
  <si>
    <t>Daily standups are for surfacing/removing blockers. Other choices waste time or defer responsibility.</t>
  </si>
  <si>
    <t>Agile project has safety concerns. What should the PM do?</t>
  </si>
  <si>
    <t>A. Send info to customer  
B. Escalate to safety dept.  
C. Create new policy  
D. Include in Definition of Done</t>
  </si>
  <si>
    <t>Including safety in the DoD ensures compliance at delivery. Other choices don’t guarantee results.</t>
  </si>
  <si>
    <t>Vendor delay is affecting release. What should PM do?</t>
  </si>
  <si>
    <t>A. Work with vendor  
B. Update release date  
C. Escalate via tech lead  
D. Let team work together</t>
  </si>
  <si>
    <t>PM must understand cause and alternatives with vendor before updating plans or escalating.</t>
  </si>
  <si>
    <t>PM consolidates knowledge in videos/photos/audio. Where should this go?</t>
  </si>
  <si>
    <t>A. Lessons learned register  
B. Knowledge sharing register  
C. Risk register  
D. Issue log</t>
  </si>
  <si>
    <t>Lessons learned can include all types of formats for capturing insights and recommendations.</t>
  </si>
  <si>
    <t>PM discovers a missed foreign stakeholder. They request documents in their language. What should PM do?</t>
  </si>
  <si>
    <t>A. Escalate to sponsor  
B. Say documents are only in English  
C. Update stakeholder register  
D. Ignore the request</t>
  </si>
  <si>
    <t>Always update the stakeholder register when someone new is identified.</t>
  </si>
  <si>
    <t>ABC Electric failed due to poor communication. What key attribute is emphasized?</t>
  </si>
  <si>
    <t>A. Interactive communication  
B. Who/how/when/context  
C. Pull communication  
D. None of the above</t>
  </si>
  <si>
    <t>Effective communication planning includes format, timing, and audience awareness.</t>
  </si>
  <si>
    <t>ABC Electric PM failed to get stakeholder response. Which action should NOT have been taken?</t>
  </si>
  <si>
    <t>A. Change message  
B. Adhere to existing method  
C. Tailor style  
D. Reassess need for comm.  
E. Validate proposal quality</t>
  </si>
  <si>
    <t>Adhering to an ineffective communication method leads to failure. PM must adapt for audience.</t>
  </si>
  <si>
    <t>What could have helped ABC Electric increase success chances with the contract?</t>
  </si>
  <si>
    <t>A. Monitor market needs  
B. Assign PM with domain knowledge  
C. Tailor stakeholder comms  
D. Simultaneous geo launches  
E. Stakeholder brainstorm</t>
  </si>
  <si>
    <t>Stakeholder-aligned communication is key to gaining buy-in and demonstrating business value.</t>
  </si>
  <si>
    <t>Expert</t>
  </si>
  <si>
    <t>A, C, D</t>
  </si>
  <si>
    <t>PMI Mini Exam #1</t>
  </si>
  <si>
    <t>A project manager is developing a project management plan to submit to the sponsor in 2 weeks. The sponsor wants to review early resource estimates. What should the PM do?</t>
  </si>
  <si>
    <t>A. Wait for WBS
B. Share BES
C. Re-share SOW
D. Share RBS</t>
  </si>
  <si>
    <t>RBS outlines resource types, quantities, and costs across project stages—more relevant than BES/WBS/SOW for resource estimation.</t>
  </si>
  <si>
    <t>A PM wants effective communication in a new, large project. What should they do?</t>
  </si>
  <si>
    <t>A. Organize team activities
B. Share info process
C. Use clear assessments
D. Free exchange of ideas</t>
  </si>
  <si>
    <t>Sharing info builds trust—PM must ensure structured sharing, not just informal exchanges or morale-building.</t>
  </si>
  <si>
    <t>The product owner keeps asking about budget during Agile ceremonies. What should the PM have done earlier?</t>
  </si>
  <si>
    <t>A. Use different cost estimates
B. Use budget reports
C. Clarify roles in agile
D. Use fixed-price contract</t>
  </si>
  <si>
    <t>PM should have mentored the product owner on agile roles/ceremonies. Budget isn't the primary concern.</t>
  </si>
  <si>
    <t>What should a PM do with stakeholders who have no interest or influence?</t>
  </si>
  <si>
    <t>A. Closely monitor
B. Highly encourage
C. Attentively focus
D. Visibly harness</t>
  </si>
  <si>
    <t>Low-interest/influence stakeholders require monitoring, not proactive engagement.</t>
  </si>
  <si>
    <t>A customer requested a change; responsible specialist was reassigned. What should the PM do first?</t>
  </si>
  <si>
    <t>A. Request new HR resource
B. Ask sponsor for resource
C. Negotiate availability
D. Tell customer no</t>
  </si>
  <si>
    <t>PM should negotiate availability first—only then escalate to sponsor or HR.</t>
  </si>
  <si>
    <t>Project delay due to late material delivery. What should the PM do next?</t>
  </si>
  <si>
    <t>A. Discuss with team
B. Add to issue log
C. Contact procurement
D. Escalate to sponsor</t>
  </si>
  <si>
    <t>Adding it to the issue log ensures formal tracking and resolution.</t>
  </si>
  <si>
    <t>Fixed-price contract, added scope, more resources added. Which technique is being applied?</t>
  </si>
  <si>
    <t>A. Fast tracking
B. Crashing
C. Resource leveling
D. Lead and lag</t>
  </si>
  <si>
    <t>Crashing adds resources to meet deadlines without changing scope.</t>
  </si>
  <si>
    <t>How can a PM communicate the project announcement and gain commitment?</t>
  </si>
  <si>
    <t>A. Create charter
B. Kick-off meeting
C. Comm mgmt plan
D. Distribute RACI</t>
  </si>
  <si>
    <t>Comm mgmt plan ensures stakeholder info is structured—kickoffs/RACI are tools but not enough.</t>
  </si>
  <si>
    <t>What is the most important part of stakeholder management?</t>
  </si>
  <si>
    <t>A. Avoid challenges
B. Real-time schedule changes
C. Equal info sharing
D. Good relationships</t>
  </si>
  <si>
    <t>Relationships drive success—effective stakeholder engagement is rooted in trust and influence.</t>
  </si>
  <si>
    <t>R&amp;D department planning a new product initiative. How to increase project success?</t>
  </si>
  <si>
    <t>A. Use old templates
B. Do impact analysis
C. Plan session on scope/vision
D. Benchmarking</t>
  </si>
  <si>
    <t>Success starts with clear vision/scope. PM must align stakeholders before planning or analysis.</t>
  </si>
  <si>
    <t xml:space="preserve">Req'ts &amp; Scope will not be in the Project Charter!! </t>
  </si>
  <si>
    <t>Circumstance</t>
  </si>
  <si>
    <t>Why Affinity Grouping Is Used</t>
  </si>
  <si>
    <t>To organize a long list of raw ideas into logical groups, making it easier to analyze.</t>
  </si>
  <si>
    <t>Helps identify patterns in problems or failures (especially in quality control and process improvement).</t>
  </si>
  <si>
    <t>If you’ve gathered interview responses, survey comments, or stakeholder feedback, grouping similar ideas helps extract key themes.</t>
  </si>
  <si>
    <t>To categorize stakeholders by influence, interest, or attitude for easier strategy development.</t>
  </si>
  <si>
    <t>To cluster similar product or project requirements.</t>
  </si>
  <si>
    <t>Supporting those tools by organizing root causes or contributing factors.</t>
  </si>
  <si>
    <t>under what circumstance will you use affinity grouping?</t>
  </si>
  <si>
    <t>🧠 After brainstorming sessions</t>
  </si>
  <si>
    <t>🔍 During root cause analysis</t>
  </si>
  <si>
    <t>👥 When analyzing qualitative data</t>
  </si>
  <si>
    <t>📈 When conducting a stakeholder analysis</t>
  </si>
  <si>
    <t>📊 During requirements gathering</t>
  </si>
  <si>
    <t>📋 When using tools like cause-and-effect (Ishikawa) or the 5 Whys</t>
  </si>
  <si>
    <t>Stakeholder Register</t>
  </si>
  <si>
    <t>Scope management plan</t>
  </si>
  <si>
    <t>requirements management plan</t>
  </si>
  <si>
    <t>Project Charter</t>
  </si>
  <si>
    <t xml:space="preserve">"Req'ts" &amp; "Scope" will not be in the Project Charter!! </t>
  </si>
  <si>
    <t>A project manager is reviewing work performance data in preparation for the close project process... What should the project manager do next?</t>
  </si>
  <si>
    <t>A. Allocate the contingency reserve
B. Update the schedule and perform the work
C. Issue a change request for review by the change control board (CCB)
D. Update the watch list in the risk register</t>
  </si>
  <si>
    <t>Since one of the completed deliverables was not formally accepted, it may require a change request for defect repair...</t>
  </si>
  <si>
    <t>The project manager should use a checklist as it is generally used in validating process steps have been implemented.
The other answer choices are incorrect. Flowcharts can only be used to outline process steps not verify that they have been conducted; histograms reflect frequency distribution and will not verify team members have completed the tasks; and facilitation is the ability to effectively guide a group event to a successful decision, solution, or conclusion.</t>
  </si>
  <si>
    <t>A project has been closed and customer care needs to measure customer satisfaction with the deliverables. What should be done next?</t>
  </si>
  <si>
    <t>Closure meetings are used to confirm deliverables have been accepted, validate if acceptance criteria have been met, formalize contract completion, evaluate stakeholder satisfaction, gather lessons learned, transfer project knowledge and information, and celebrate success. Customer satisfaction can be derived by referring customer feedback documents.</t>
  </si>
  <si>
    <t>The quality management plan defines the standards for the project deliverables and how compliance with the standards can be demonstrated. The scope and requirements documents should not list quality criteria.</t>
  </si>
  <si>
    <t>The product owner should align customer expectations by reviewing and clarifying functional acceptance criteria. This ensures delivery aligns with the definition of done.</t>
  </si>
  <si>
    <t>A project team has not been performing user acceptance tests on a deliverable because the product has been working as expected in other projects. However, after implementation, the product is not operational. What should the project manager do to identify the source of the problem?</t>
  </si>
  <si>
    <t>A. Review the quality metrics document.
B. Develop a scatter diagram.
C. Conduct a root cause analysis.
D. Perform an audit.</t>
  </si>
  <si>
    <t>Root cause analysis identifies the fundamental reason for the problem. The other options (e.g. scatter diagram, quality metrics, audit) don't directly diagnose the underlying cause.</t>
  </si>
  <si>
    <t>A project deliverable does not meet the functional requirements necessary to meet stakeholder needs. As a result, the customer refuses to accept the deliverable. How would defining the quality metrics have helped the project manager avoid this situation?</t>
  </si>
  <si>
    <t>Quality metrics describe a project or product attribute and how to measure it, helping determine customer satisfaction with clear, objective standards. The Test Management Plan uses quality metrics, not defines them. WBS would define tasks, not how to measure quality. A procurement plan is unrelated to quality assessment.</t>
  </si>
  <si>
    <t>A major project deliverable is completed. What should the project manager and team do to confirm that specifications have been met?</t>
  </si>
  <si>
    <t>A. Check the organizational process assets.
B. Validate the quality audit reports.
C. Verify the scope.
D. Perform quality control.</t>
  </si>
  <si>
    <t>Quality control is used to analyze and evaluate the project deliverables against the requirements. Other options (quality audit reports, process assets, or verifying scope) don't directly confirm deliverable specs.</t>
  </si>
  <si>
    <t>A manufacturing company receives customer complaints that a product is defective. A project sponsor has said that these complaints might be outliers. What should the project manager use to investigate the cause and quantity of defects in this product?</t>
  </si>
  <si>
    <t>Histogram displays the number and ranking of defects, allowing analysis of trends and causes. Flowcharts show processes, affinity diagrams organize causes (not quantify), and control charts show process stability rather than frequency of defects.</t>
  </si>
  <si>
    <t>After sponsor approval of a project, the project manager invites the sponsor, selected team members, and other stakeholders to a meeting. The major purpose of the meeting is to define how formal acceptance of the completed project deliverables will be obtained. What document will be developed as the final output of this meeting?</t>
  </si>
  <si>
    <t>A. Change log.
B. Stakeholder register.
C. Scope management plan.
D. Requirements management plan.</t>
  </si>
  <si>
    <t>The scope management plan defines how the scope will be defined, developed, monitored, and validated. The other options either document unrelated info (changes, stakeholders) or relate to requirements, not acceptance.</t>
  </si>
  <si>
    <t>Plan and Manage Quality of Products / deliverables</t>
  </si>
  <si>
    <t>Which of the following is not part of the Validate Release in Transition phase?</t>
  </si>
  <si>
    <t>A. Production deployment testing
B. Active stakeholder participation
C. Stakeholder satisfaction survey
D. Log the deployment</t>
  </si>
  <si>
    <t>Logging the deployment falls under the release into production during the transition. Production deployment testing, active stakeholder participation, and stakeholder satisfaction survey are part of validating a release in transition.</t>
  </si>
  <si>
    <t>A project manager needs to close a project phase. What step should project manager take?</t>
  </si>
  <si>
    <t>A. Ensure deliverables have full buy-in according to decision process established for phase
B. Compare project deliverables with project charter and request customer sign off
C. Review high-level strategic and operational assumptions and constraints with stakeholders
D. Review project management plan to ensure phase objectives have been met</t>
  </si>
  <si>
    <t>When closing a project or phase, the project manager must review the project management plan to confirm all work is complete and objectives have been met.</t>
  </si>
  <si>
    <t>You are the project manager on a project delivered by a Scrum team. Which of the following are the goals of the retrospective event? (Choose 3)</t>
  </si>
  <si>
    <t>A. Identify what is working well and define actions to reinforce them
B. Identify what is not working and define actions to rectify them
C. Identify top improvement areas and define actions to implement them
D. Identify unfinished deliverables and define actions to complete them</t>
  </si>
  <si>
    <t>A, B, C</t>
  </si>
  <si>
    <t>Retrospectives focus on continuous improvement of the Scrum process, not backlog or deliverable management.</t>
  </si>
  <si>
    <t>A project has components that are outsourced and the project manager is in the control phase of the procurement process. What should the project manager focus on doing?</t>
  </si>
  <si>
    <t>A. Finalize the contract and pay the vendors
B. Develop a procurement plan and identify potential vendors
C. Issue requests for proposals and select vendors
D. Evaluate the performance of one of the major project vendors</t>
  </si>
  <si>
    <t>Control Procurements focuses on monitoring vendor performance, contract compliance, and resolving issues.</t>
  </si>
  <si>
    <t>Which of the following is not considered during project/phase closure?</t>
  </si>
  <si>
    <t>A. Team celebration ideas
B. Critical Success Factors
C. Fast-tracking
D. Knowledge transfer</t>
  </si>
  <si>
    <t>Fast-tracking is a schedule compression technique used before closure.</t>
  </si>
  <si>
    <t>A project manager is reviewing project histories, resources, and performance data to apply stored knowledge to a new project. Where is the first place the project manager should look?</t>
  </si>
  <si>
    <t>A. Previously accepted project charters
B. PMIS system
C. Quality management tools
D. Baseline versus actual performance reports</t>
  </si>
  <si>
    <t>PMIS contains consolidated organizational knowledge including histories, lessons learned, and performance data.</t>
  </si>
  <si>
    <t>Project completion will be delayed because an essential component will not be delivered on time. What should the project manager do?</t>
  </si>
  <si>
    <t>A. Consult with stakeholders and revise the project schedule
B. Review the scope management plan
C. Check the procurement contract for penalties
D. Evaluate the impact of the delay before deciding actions</t>
  </si>
  <si>
    <t>The project manager must first understand the impact of the delay before deciding or recommending actions.</t>
  </si>
  <si>
    <t>A project was cancelled during its initiation phase due to lack of adequate resources. What should the project manager do?</t>
  </si>
  <si>
    <t>A. Inform all team members according to the communications plan
B. Refer to the company’s project closure guidelines
C. Perform a risk analysis to determine impact
D. Reassign all resources and reallocate budget</t>
  </si>
  <si>
    <t>Organizational project closure guidelines define required actions when a project is terminated, even during initiation.</t>
  </si>
  <si>
    <t>A project manager needs to close out a project and does not have time to update the lessons learned register. What could be a consequence of this failure to act?</t>
  </si>
  <si>
    <t>A. Work performance data would be incomplete
B. Opportunities to prevent similar problems in future projects could be missed
C. The project management plan would be misleading
D. Stakeholders would refuse future engagement</t>
  </si>
  <si>
    <t>Lessons learned enable organizational learning; failing to capture them can allow problems to repeat.</t>
  </si>
  <si>
    <t>Which of the following is performed in project/phase closure?</t>
  </si>
  <si>
    <t>A. Schedule and conduct a project kickoff meeting
B. Schedule and conduct a lessons learned meeting
C. Schedule and conduct a change control meeting
D. Schedule and conduct a project status meeting</t>
  </si>
  <si>
    <t>Lessons learned meetings are conducted during project or phase closure to capture knowledge for future projects.</t>
  </si>
  <si>
    <t>A project to develop a new product is nearing its closing phase and has received formal acceptance. What should the project manager do next?</t>
  </si>
  <si>
    <t>A. Review all contracts with the project team and suppliers
B. Disband the project team
C. Ensure customer care teams have training
D. Document lessons learned</t>
  </si>
  <si>
    <t>After formal acceptance, the project manager should verify all contractual obligations are satisfied before final closure activities.</t>
  </si>
  <si>
    <t>-</t>
  </si>
  <si>
    <t>Plan and Manage Project / Phase Closure or Transition</t>
  </si>
  <si>
    <t>Logging the deployment falls under release into production, not validate release.</t>
  </si>
  <si>
    <t>A. Ensure deliverables have full buy-in
B. Compare deliverables with charter
C. Review assumptions
D. Review PM plan to ensure objectives met</t>
  </si>
  <si>
    <t>Ensures all phase work is complete and objectives are met.</t>
  </si>
  <si>
    <t>Goals of the Scrum retrospective event (Choose 3)?</t>
  </si>
  <si>
    <t>A. Identify what works
B. Identify what doesn’t work
C. Identify improvement areas
D. Identify unfinished deliverables</t>
  </si>
  <si>
    <t>Retrospectives focus on process improvement, not backlog management.</t>
  </si>
  <si>
    <t>Outsourced components – PM in control procurement phase. Focus on?</t>
  </si>
  <si>
    <t>A. Finalize contract
B. Develop procurement plan
C. Select vendors
D. Evaluate vendor performance</t>
  </si>
  <si>
    <t>Control procurements focuses on monitoring vendor performance.</t>
  </si>
  <si>
    <t>What is not considered during project/phase closure?</t>
  </si>
  <si>
    <t>A. Team celebration
B. Critical success factors
C. Fast-tracking
D. Knowledge transfer</t>
  </si>
  <si>
    <t>Fast-tracking is used during execution, not closure.</t>
  </si>
  <si>
    <t>Where should PM first look to apply stored knowledge to a new project?</t>
  </si>
  <si>
    <t>A. Accepted charters
B. PMIS
C. Quality tools
D. Performance reports</t>
  </si>
  <si>
    <t>PMIS stores organizational project knowledge.</t>
  </si>
  <si>
    <t>Project delayed due to late component delivery. What should PM do?</t>
  </si>
  <si>
    <t>A. Revise schedule
B. Review scope plan
C. Check penalties
D. Evaluate impact</t>
  </si>
  <si>
    <t>Impact must be understood before corrective action.</t>
  </si>
  <si>
    <t>Project cancelled during initiation due to lack of resources. What should PM do?</t>
  </si>
  <si>
    <t>A. Inform team
B. Refer to closure guidelines
C. Perform risk analysis
D. Reassign resources</t>
  </si>
  <si>
    <t>Organizational procedures define termination steps.</t>
  </si>
  <si>
    <t>Consequence of not updating lessons learned register?</t>
  </si>
  <si>
    <t>A. Incomplete performance data
B. Missed improvement opportunities
C. Inaccurate PM plan
D. Stakeholders disengage</t>
  </si>
  <si>
    <t>Lessons learned support continuous improvement.</t>
  </si>
  <si>
    <t>What is performed in project/phase closure?</t>
  </si>
  <si>
    <t>A. Kickoff meeting
B. Lessons learned meeting
C. Change control meeting
D. Status meeting</t>
  </si>
  <si>
    <t>Lessons learned are captured during closure.</t>
  </si>
  <si>
    <t>After formal acceptance, what should PM do next?</t>
  </si>
  <si>
    <t>A. Review contracts
B. Disband team
C. Train customer care
D. Document lessons learned</t>
  </si>
  <si>
    <t>Contract closure precedes team release.</t>
  </si>
  <si>
    <t>Mentor and Collaborate with Stakeholders</t>
  </si>
  <si>
    <t xml:space="preserve">Make sure you look at exactly what they are asking. </t>
  </si>
  <si>
    <t>Manage Project Issues</t>
  </si>
  <si>
    <t>A key stakeholder refuses to sign off on a product because it does not meet the expectations outlined in the project scope. What should the project manager have done to avoid this situation?</t>
  </si>
  <si>
    <t>A. Solicited stakeholder feedback throughout the life cycle of the project.
B. Conducted risk assessments based on the stakeholder's expectations.
C. Implemented conflict management techniques during sign-off.
D. Involved the key stakeholder during the testing phase.</t>
  </si>
  <si>
    <t>Continuous stakeholder engagement ensures expectations are aligned throughout the project and prevents surprises at sign-off.</t>
  </si>
  <si>
    <t>A new project manager joins a project during a critical milestone and must decide how much detail to provide stakeholders. Which document should be referred to?</t>
  </si>
  <si>
    <t>A. Communications management plan
B. Stakeholder register
C. Stakeholder engagement plan
D. Project management plan</t>
  </si>
  <si>
    <t>The stakeholder engagement plan defines communication strategies tailored to stakeholder interest and influence.</t>
  </si>
  <si>
    <t>An intern replaces a critical resource midway through a sprint, causing delays. What should the project manager have done to avoid this scenario?</t>
  </si>
  <si>
    <t>A. Convince the critical resource to stay.
B. Negotiate additional time.
C. Request an experienced replacement.
D. Allocate more mentoring time.</t>
  </si>
  <si>
    <t>An experienced replacement mitigates skill-gap risk. Mentoring and schedule changes address symptoms, not root causes.</t>
  </si>
  <si>
    <t>A project stakeholder has been missing facilitation workshops and delegating tasks. What should the project manager do to engage this stakeholder?</t>
  </si>
  <si>
    <t>A. Review roles and responsibilities in the project charter.
B. Explain task differences among team members.
C. Ask the program manager to enforce attendance.
D. Pair the stakeholder with a mentor.</t>
  </si>
  <si>
    <t>Clarifying roles and responsibilities reinforces accountability and improves engagement without escalation.</t>
  </si>
  <si>
    <t>Two local parties impacted by equipment commissioning ask that the project be stopped because they were not involved in approval. How would a stakeholder engagement plan have helped avoid this situation?</t>
  </si>
  <si>
    <t>A. Use conflict management techniques to gain approval.
B. Ensure their sign-off on the project charter.
C. Negotiate based on expectations.
D. Identify them as stakeholders and include them in communications.</t>
  </si>
  <si>
    <t>Proper stakeholder identification ensures all affected parties are included in relevant communications.</t>
  </si>
  <si>
    <t>A stakeholder with high interest but little authority is identified. How should the project manager handle this stakeholder?</t>
  </si>
  <si>
    <t>A. Provide information as needed.
B. Work closely to address concerns.
C. Keep track and respond to needs.
D. Include in standard updates and keep satisfied.</t>
  </si>
  <si>
    <t>Stakeholders with low power but high interest should be kept informed with relevant information.</t>
  </si>
  <si>
    <t>A project manager is developing a project charter, but a key stakeholder is not providing expected project benefits. Why should the project manager meet with the project sponsor?</t>
  </si>
  <si>
    <t>A. Sponsor manages tacit and explicit knowledge.
B. Sponsor can address internal political and strategic issues.
C. Sponsor can request CCB changes.
D. Sponsor manages stakeholder discipline.</t>
  </si>
  <si>
    <t>The sponsor can intervene at a strategic and political level to facilitate stakeholder contribution when barriers exist.</t>
  </si>
  <si>
    <t>A project manager identifies a stakeholder with little authority but clear interest. How should this stakeholder be managed?</t>
  </si>
  <si>
    <t>A. Keep satisfied.
B. Manage closely.
C. Monitor.
D. Keep informed.</t>
  </si>
  <si>
    <t>Low-power, high-interest stakeholders should be kept informed as their engagement may evolve.</t>
  </si>
  <si>
    <t>A project manager wants to improve team dynamics and knowledge sharing during a megaproject. What should they do?</t>
  </si>
  <si>
    <t>A. Conduct knowledge-sharing presentations.
B. Push junior members with minimal support.
C. Implement a formal mentoring program.
D. Facilitate open team discussions.</t>
  </si>
  <si>
    <t>Open discussions promote collaboration, trust, and shared learning while addressing team and individual challenges.</t>
  </si>
  <si>
    <t>Two teams are working simultaneously on interdependent parts of a complex project. What should the project manager do first to manage potential conflicts when outputs are combined?</t>
  </si>
  <si>
    <t>A. Set up weekly meetings between the teams to monitor each other's work.
B. Prioritize conflict resolution for the critical path work.
C. Review lessons learned to anticipate conflicts.
D. Engage stakeholders to support conflict resolution.</t>
  </si>
  <si>
    <t>Maintaining open communication through regular coordination meetings prevents suboptimization and identifies issues early before integration.</t>
  </si>
  <si>
    <t>Plan and Manage Scope</t>
  </si>
  <si>
    <t>After a review meeting, a scrum master repeats the importance of quality, focusing especially on the Cost of Change. Which of the following is the scrum master not referring to?</t>
  </si>
  <si>
    <t>A. Shorten the defect cycle time
B. Fix escaped defects
C. Support more features
D. Reduce the technical debt</t>
  </si>
  <si>
    <t>The scrum master is referring to all the listed options except supporting more features. Cost of Quality focuses on preventing, identifying, and fixing defects rather than expanding features.</t>
  </si>
  <si>
    <t>During a project review, the construction manager reports that the concrete production rate has changed over the last three months. They would like to have an idea of what to expect in the next three months. What analysis should be conducted?</t>
  </si>
  <si>
    <t>A. Earned value analysis
B. Critical path analysis
C. Trend analysis
D. Cost-benefit analysis</t>
  </si>
  <si>
    <t>Trend analysis forecasts future performance using historical data and is appropriate for predicting future production rates.</t>
  </si>
  <si>
    <t>A project manager is managing an agile project with many risks identified in the risk register. During the iteration, an identified risk occurs which halts project development. What should the project manager do next?</t>
  </si>
  <si>
    <t>A. Raise the frequency of communications and leverage stakeholders to assist in resolving issues
B. Assign responsibility for the communication management plan to a senior team member
C. Invite stakeholders to the next retrospective and inform them of the issue
D. Delay development to the next sprint and work on backlog items</t>
  </si>
  <si>
    <t>When work is blocked, the project manager must act immediately by increasing communication and engaging stakeholders. Waiting or changing sprint scope is not appropriate.</t>
  </si>
  <si>
    <t>A. Raise the frequency of communications and leverage stakeholders to assist in resolving issues
B. Assign responsibility for the communication management plan to a senior team member
C. Invite the stakeholders to the next retrospective meeting and inform them of the issue
D. Delay development of the critical aspect to the next sprint and work on items currently in the backlog</t>
  </si>
  <si>
    <t>Effective issue management requires immediate escalation and stakeholder involvement rather than waiting for ceremonies or altering sprint commitments.</t>
  </si>
  <si>
    <t>A key project team member is leaving the organization at the halfway point of the project. What should the project manager do first?</t>
  </si>
  <si>
    <t>A. Meet with remaining team members to reassign workloads
B. Work with the functional manager to find a replacement
C. Evaluate the impact of the loss of the team member on the project
D. Reassess the resource roles and team composition</t>
  </si>
  <si>
    <t>The project manager must first assess the impact of the team member’s departure before deciding on reassignment, replacement, or team restructuring.</t>
  </si>
  <si>
    <t>During an agile retrospective session, several team members mention they were confused about the iteration’s progress. What should the project manager do to avoid this confusion?</t>
  </si>
  <si>
    <t>A. Coach the team to review the iteration board
B. Prepare a daily project status report and share it with the team
C. Ask the team to refer to the iteration backlog report
D. Address the issue at the next retrospective session</t>
  </si>
  <si>
    <t>In agile, transparency is achieved through visible information radiators such as the iteration board. Coaching the team to use it supports self-management and shared understanding of progress.</t>
  </si>
  <si>
    <t>C is about preventing the problem.
B is about reacting after the problem already exists.</t>
  </si>
  <si>
    <t xml:space="preserve">What should you do now? </t>
  </si>
  <si>
    <t xml:space="preserve">What should you have done? </t>
  </si>
  <si>
    <t>--&gt; prior work</t>
  </si>
  <si>
    <t xml:space="preserve">--&gt; Now what? </t>
  </si>
  <si>
    <t xml:space="preserve">Look for veribage in the question they are asking: </t>
  </si>
  <si>
    <t>Core PMI rule: Detailed planning cannot occur until the project charter scope is approved.</t>
  </si>
  <si>
    <t>impediment</t>
  </si>
  <si>
    <t>Meaning</t>
  </si>
  <si>
    <t>Obstruction in doing something</t>
  </si>
  <si>
    <t>address and remove impediments, obstacles, and blocker for the team</t>
  </si>
  <si>
    <t>During acceptance testing of a deliverable, some senior stakeholders complain that a feature essential to their department was not included. What should the project manager have done to prevent this?</t>
  </si>
  <si>
    <t>A. Consulted lessons learned from similar projects to adapt processes
B. Prepared a change management plan and logged changes during project implementation
C. Analyzed the project charter and developed a scope management plan
D. Prepared a prototype and conducted a product demo with stakeholders</t>
  </si>
  <si>
    <t>The issue resulted from inadequate scope definition. A scope management plan ensures requirements are defined, validated, and controlled early, preventing essential features from being missed.</t>
  </si>
  <si>
    <t>The sponsor of a hybrid project wants to see a more detailed breakdown in the project charter, not just the milestones. The project manager informs the sponsor that preparing the breakdown will require two more iterations. Why is this additional time required?</t>
  </si>
  <si>
    <t>A. The milestone schedule was prepared based on the project manager's experience only.
B. The steering committee has to review and approve the schedule first.
C. Scope in the charter should be approved before detail planning with the team can occur.
D. Schedule details are only planned one iteration in advance in a hybrid approach.</t>
  </si>
  <si>
    <t>In hybrid projects, charter-level scope must be approved before detailed planning can occur. Additional iterations are required for progressive elaboration after scope approval.</t>
  </si>
  <si>
    <t>A new project manager is assigned during execution and discovers some deliverables were overlooked in the WBS. The PM must ensure no work is left out and no extra work is performed. What should the PM do next?</t>
  </si>
  <si>
    <t>A. Add the work to the WBS and recalculate the project metrics.
B. Ask stakeholders if the deliverables need to be added.
C. Roll up lower-level deliverables into existing WBS elements.
D. Initiate a change control request with the PMO.</t>
  </si>
  <si>
    <t>The WBS must reflect 100% of the approved scope. Since the scope was already agreed upon, the PM should correct the WBS and update metrics. This is a planning correction, not a scope change.</t>
  </si>
  <si>
    <t>A project manager is working on a new software development project. The customer provided a list of requirements but did not differentiate technical requirements from customer requirements. Which requirement should be classified as a customer requirement?</t>
  </si>
  <si>
    <t>A. The software should be able to process 1000 transactions per second.
B. The software should use a secure database encryption algorithm.
C. The software should be able to run on a variety of operating systems.
D. The software should be easy to use and navigate.</t>
  </si>
  <si>
    <t>Customer requirements are high-level, non-technical statements describing what the customer wants. “Easy to use and navigate” reflects a user expectation rather than a specific, testable technical requirement.</t>
  </si>
  <si>
    <t>Common problems during project scope definition are internal and external dependencies. Which of the following is a dependency that can add complexity to the project?</t>
  </si>
  <si>
    <t>A. Non-dependency between a project and the overall program.
B. Underfunded projects that are dependent upon external resources.
C. Non-dependency of the project upon an environment in which it is designed to be functional.
D. Over-staffed project with extra capacity.</t>
  </si>
  <si>
    <t>External dependencies, such as reliance on outside resources combined with insufficient funding, increase uncertainty and complexity during scope definition. The other options describe non-dependencies or risk mitigation situations.</t>
  </si>
  <si>
    <t xml:space="preserve">You can always point out the functional manager is wrong, except for the stakeholder or product owner. </t>
  </si>
  <si>
    <t>Plan and Manage Budget and Resource</t>
  </si>
  <si>
    <t>A project manager working on an agile project discovers that the allocated budget and resources are insufficient to cover the estimated total cost. The PMO recommended the development of a requirements prioritization model. What should the project manager take into consideration in the model?</t>
  </si>
  <si>
    <t>A. Cost, associated risk, and company culture
B. Associated risk and company culture
C. Cost and associated risk
D. Associated cost impediments</t>
  </si>
  <si>
    <t>Requirements should be prioritized based on cost and associated risk. Company culture does not vary by requirement, and cost impediments are not yet known.</t>
  </si>
  <si>
    <t>Medium</t>
  </si>
  <si>
    <t>A project integrates with several systems developed by various vendors and one of these vendors has gone out of business. What should the project manager do first?</t>
  </si>
  <si>
    <t>A. Meet with this vendor to identify a replacement.
B. Review the risk register and update the issue log.
C. Calculate the delay and notify the project sponsor of the new timeline.
D. Negotiate with another vendor to produce the deliverable.</t>
  </si>
  <si>
    <t>The missing vendor is now an issue. The project manager should first consult the risk register for response strategies and log the issue before taking further action.</t>
  </si>
  <si>
    <t>The project manager for a complex project discovers that a certain team member has missed several targets. What should the project manager do?</t>
  </si>
  <si>
    <t>A. Determine if the team member has been assigned to a concurrent project.
B. Impose a penalty for each day the team member misses a target.
C. Ask the team member’s functional manager to address the issue.
D. Discuss the issue with the team member and offer any needed assistance.</t>
  </si>
  <si>
    <t>The project manager should directly engage the team member to understand root causes and provide support. Escalation or penalties without understanding are ineffective.</t>
  </si>
  <si>
    <t>Easy–Medium</t>
  </si>
  <si>
    <t>A project manager is using an agile delivery approach for a project. The team members and business stakeholders are unfamiliar with formal requirements prioritization methods and are inexperienced with agile delivery approaches. What prioritization technique should the project manager use?</t>
  </si>
  <si>
    <t>A. Get the opinion of all team members and business stakeholders.
B. Use a mathematical model defined by the team members and stakeholders.
C. Collect the needs of the team members and business stakeholders.
D. Reach a common understanding with the team members and stakeholders.</t>
  </si>
  <si>
    <t>Objective models such as Weighted Shortest Job First (WSJF) help inexperienced teams prioritize based on value and risk rather than subjective opinion.</t>
  </si>
  <si>
    <t>Medium–Hard</t>
  </si>
  <si>
    <t>A functional manager has been making changes to a project outside of the established management plan and went directly to the project sponsor to request another change. What should the project manager do?</t>
  </si>
  <si>
    <t>A. Determine if the change control board (CCB) needs to review the changes.
B. Tell the functional manager that all changes must go through the change control process.
C. Modify the project management plan to allow flexibility in the change control procedures.
D. Meet with the project sponsor to discuss details about the requested changes.</t>
  </si>
  <si>
    <t>The project manager must enforce adherence to the agreed change control process. All changes must be formally submitted and reviewed.</t>
  </si>
  <si>
    <t>The change control board (CCB) has approved several change requests, but implementation is taking longer than expected. What should the project manager do?</t>
  </si>
  <si>
    <t>A. Revise the change control system to allow only critical changes.
B. Acquire additional resources to meet milestones.
C. Perform a detailed risk analysis of the delay.
D. Monitor implementation of the changes to ensure procedures are being followed.</t>
  </si>
  <si>
    <t>After approval, the project manager’s role is to monitor implementation and ensure change management procedures are properly followed.</t>
  </si>
  <si>
    <t>A project manager is working on a hybrid project. Team performance is suffering because a stakeholder frequently interrupts the team for status updates and attempts to implement changes directly. How can the project manager improve project performance?</t>
  </si>
  <si>
    <t>A. Identify the stakeholder as a risk and work on mitigation.
B. Have the team direct all requests from the stakeholder to the project manager.
C. Work with the PMO to remove the stakeholder from the project.
D. Meet with the project sponsor to address and remove impediments and obstacles for the team.</t>
  </si>
  <si>
    <t>In agile and hybrid environments, the project manager acts as a servant leader by removing impediments. Working with the sponsor helps address stakeholder interference and restore team focus.</t>
  </si>
  <si>
    <t>An organization decides to implement the Scrum delivery framework. The project manager is using an impediment board with the Scrum team to identify and raise impediments. What should happen after the impediments are recorded?</t>
  </si>
  <si>
    <t>A. Address the highest priority impediments so the team can reach the sprint objective.
B. Prioritize impediments based on their levels of importance and in relation to those already on the log.
C. Publish and post the impediments log and make it visible to everyone.
D. Communicate that the impediment is removed and update the log.</t>
  </si>
  <si>
    <t>After impediments are identified and recorded—typically during the daily standup—they should be prioritized relative to existing impediments so the team can focus on removing the most critical blockers first.</t>
  </si>
  <si>
    <t>EVM</t>
  </si>
  <si>
    <t>CPI?</t>
  </si>
  <si>
    <t>CPI = EV / AC</t>
  </si>
  <si>
    <t>Address and Remove Impediments, Obstacles, and Blockers for the Team</t>
  </si>
  <si>
    <t xml:space="preserve">Really Hard ones: </t>
  </si>
  <si>
    <t>Execute Project with Urgency Required to deliver business value</t>
  </si>
  <si>
    <t>The project team is defining certifications, technical competencies, and soft competencies for people, machinery, advance visualization software, workstations for physicians, and other supplies for a complex project that must be implemented in 5 months. If the project team uses a resource breakdown structure (RBS), how will it help to organize and visualize the resources? (Choose three.)</t>
  </si>
  <si>
    <t>A. By hierarchy
B. By source
C. By category
D. By type
E. By last name</t>
  </si>
  <si>
    <t>An RBS is a hierarchical representation of resources, organized by category and by type, helping visualize labor, equipment, materials, and skills.</t>
  </si>
  <si>
    <t>A project manager learns that a functional manager is assigning a two-week task in another project to a team member. Loss of this resource for two weeks will jeopardize the project schedule. What should the project manager do?</t>
  </si>
  <si>
    <t>A. Review the resource management plan
B. Submit a change request to the CCB
C. Meet with the project sponsor
D. Assign another team member</t>
  </si>
  <si>
    <t>The resource management plan guides how resources are negotiated, allocated, and released before escalation or changes.</t>
  </si>
  <si>
    <t>A new project manager has been assigned to a global project team. The team must create an RBS, but the resource management plan states it should only be created at the beginning of the project. What should the project manager do first?</t>
  </si>
  <si>
    <t>A. Update the resource management plan
B. Update the project management plan
C. Update the RBS
D. Update the WBS</t>
  </si>
  <si>
    <t>The resource management plan must be updated first, as it governs creation and maintenance of the RBS.</t>
  </si>
  <si>
    <t>A project is slightly ahead of schedule, but a critical deliverable will not be available on time. If the project manager crashes the delayed deliverable, what is the impact?</t>
  </si>
  <si>
    <t>A. Warranty issues would result
B. Costs and risks would decrease
C. Costs and risks would increase
D. Rework would be required</t>
  </si>
  <si>
    <t>Crashing shortens schedule by adding resources, which increases both costs and risks.</t>
  </si>
  <si>
    <t>A project manager identifies conflicts among local and virtual team members’ understanding of deliverables. How can the project manager resolve these conflicts?</t>
  </si>
  <si>
    <t>A. Ask the sponsor to meet with the team
B. Collaborate with team members to address conflicts
C. Host a mediation session
D. Emphasize agreement areas</t>
  </si>
  <si>
    <t>Collaboration uses interpersonal and team skills to address root causes and reach consensus.</t>
  </si>
  <si>
    <t>A project has a baseline schedule of 180 days and a budget of US$250,000. After 21 days, US$60,000 has been spent and EV is US$75,000. What is the CPI?</t>
  </si>
  <si>
    <t>A. 0.8
B. 0.75
C. 1.25
D. 1.02</t>
  </si>
  <si>
    <t>CPI = EV / AC = 75,000 / 60,000 = 1.25, indicating cost efficiency.</t>
  </si>
  <si>
    <t>A project is delayed due to resource availability, putting the project budget at risk. Which document should the project manager use to review and update resources?</t>
  </si>
  <si>
    <t>A. Requirements Traceability Matrix
B. Work Breakdown Structure
C. Resource Breakdown Structure
D. Responsibility Assignment Matrix</t>
  </si>
  <si>
    <t>The Resource Breakdown Structure (RBS) is a hierarchical view of resources by category and type and should be updated throughout the project to reflect changing resource needs.</t>
  </si>
  <si>
    <t>Manage Conflict</t>
  </si>
  <si>
    <t>During the project planning phase, the stakeholders neglected to document an essential system feature. The client realizes the oversight during an initial review of the deliverables. What should the project manager do?</t>
  </si>
  <si>
    <t>A. Review the procurement management plan to determine if the missed feature can be added to the final deliverables.
B. Determine what effect overlooking the feature will cause and submit a change request to the change control board (CCB).
C. Ask the project sponsor to authorize a price discount for the client.
D. Work with the customer to agree on a new price to compensate for the omission.</t>
  </si>
  <si>
    <t>The missing feature represents a scope gap that must be evaluated and processed through formal change control via the CCB.</t>
  </si>
  <si>
    <t>The project manager must assess the impact of the omission and follow the agreed-upon change management process.</t>
  </si>
  <si>
    <t>A customer representative asks the project manager for a new product feature. Which document should the project manager consult?</t>
  </si>
  <si>
    <t>A. Scope management plan
B. Change management plan
C. RACI matrix
D. Requirements traceability matrix</t>
  </si>
  <si>
    <t>New features are change requests, which are governed by the change management plan.</t>
  </si>
  <si>
    <t>A project manager is working on a software development project. The team cannot agree on feature priorities, and a stakeholder is concerned about value delivery. What should the project manager do?</t>
  </si>
  <si>
    <t>A. Meet with the team to develop a plan to prioritize features based on value.
B. Request a checklist of features from the stakeholder.
C. Mandate a prioritization schema.
D. Perform quality inspections.</t>
  </si>
  <si>
    <t>Collaborating with the team ensures buy-in and alignment with value delivery.</t>
  </si>
  <si>
    <t>During development of a project management plan, an essential component was omitted and a workaround failed quality review. What should the project manager do?</t>
  </si>
  <si>
    <t>A. Design a revised workaround prototype.
B. Review the requirements traceability matrix.
C. Submit a change request through integrated change control.
D. Perform qualitative risk analysis only.</t>
  </si>
  <si>
    <t>A formal change request is required so impacts can be analyzed and approved.</t>
  </si>
  <si>
    <t>In the implementation phase, a team lead will be leaving the organization and a replacement has been suggested. What is the first action the project manager should take?</t>
  </si>
  <si>
    <t>A. Determine the competence levels of the new resource.
B. Review the project baselines to assess the impact of the change.
C. Document the change per the change management plan.
D. Update the communications management plan.</t>
  </si>
  <si>
    <t>Impact analysis against baselines must occur before taking further action.</t>
  </si>
  <si>
    <t>A project manager is leading a business transformation project during financial challenges with skeptical stakeholders. What should be done to demonstrate urgency and benefits?</t>
  </si>
  <si>
    <t>A. Create a communication plan.
B. Delegate tasks and resources.
C. Hold regular meetings.
D. Develop a business case aligned with company goals.</t>
  </si>
  <si>
    <t>A business case quantifies benefits, ROI, and strategic alignment, which is critical for buy-in.</t>
  </si>
  <si>
    <t>A project manager notices employees fear layoffs due to a business transformation project, even though it is untrue. Which groups should be contacted to address this concern and ensure project success? (Choose 3)</t>
  </si>
  <si>
    <t>A. Human resources department
B. Change manager
C. Functional managers for performance reviews
D. Functional managers to help explain the change
E. Project sponsor for executive reinforcement</t>
  </si>
  <si>
    <t>B, D, E</t>
  </si>
  <si>
    <t>Correcting messaging, trusted functional managers, and executive reinforcement reduce resistance and misinformation.</t>
  </si>
  <si>
    <t>A project manager discovers an unexpected market shift during implementation that significantly reduces demand and sales. What should the project manager do first?</t>
  </si>
  <si>
    <t>A. Identify and analyze risks associated with the market shift and develop response plans.
B. Use forecasting formulas to estimate the impact.
C. Increase contingency reserves.
D. Use EVM to calculate EAC.</t>
  </si>
  <si>
    <t>Risk identification and analysis must precede forecasting or reserve adjustments.</t>
  </si>
  <si>
    <t>A company is developing a breakthrough product in a highly competitive and rapidly evolving market where the definition of done (DoD) may shift. What should the project manager do to ensure successful delivery of value?</t>
  </si>
  <si>
    <t>A. Implement robust project tracking and reporting procedures.
B. Expand the project timeline and budget.
C. Allocate additional resources to expedite development.
D. Restrict project scope and focus on deadlines.</t>
  </si>
  <si>
    <t>Strong tracking and reporting enable rapid adaptation when completion criteria are moving targets.</t>
  </si>
  <si>
    <t>A key stakeholder requests new features during the implementation phase and insists they will add value. What should the project manager do first?</t>
  </si>
  <si>
    <t>A. Meet with the project sponsor to discuss benefits.
B. Review the stakeholder engagement plan.
C. Assess and review how the changes will impact the project budget and schedule.
D. Implement the change and document lessons learned.</t>
  </si>
  <si>
    <t>Proposed features are change requests; the first step is impact assessment before approval or implementation.</t>
  </si>
  <si>
    <t>A project manager is managing a technology project in the implementation phase. A key stakeholder requests changes, but the stakeholder and team disagree on the need and approach. What should the project manager do?</t>
  </si>
  <si>
    <t>A. Meet with the stakeholder and team members separately to understand their concerns.
B. Conduct a risk assessment to determine the impact.
C. Present pros and cons of the changes.
D. Make the changes without consultation.</t>
  </si>
  <si>
    <t>Understanding each party’s concerns first allows reconciliation and collaborative resolution.</t>
  </si>
  <si>
    <t>A project manager is assigned to a complex IT project expected to deliver significant benefits, but there is no dedicated data scientist or BI specialist. What is the most appropriate approach to enable benefits-related data capture and reporting?</t>
  </si>
  <si>
    <t>A. Recruit an external consultant to supervise data capture and reporting.
B. Implement a single data collection and analysis system for all stakeholders.
C. Collaborate with the team to define KPIs and data collection methods.
D. Use a variety of data collection tools for different stakeholders.</t>
  </si>
  <si>
    <t>Collaborating with the team to define KPIs and data collection methods ensures alignment with project goals, shared understanding, and effective benefits realization without unnecessary cost or complexity.</t>
  </si>
  <si>
    <t>Promote Team Performance Through the Application of Emotional Intelligence</t>
  </si>
  <si>
    <t>Plan and Manage Quality of Products/deliverables</t>
  </si>
  <si>
    <t>Plan and Manage Project/phase Closure or Transitions</t>
  </si>
  <si>
    <t>Mentor and Collaborate With Stakeholders</t>
  </si>
  <si>
    <t>Plan and Manage Budget and Resources</t>
  </si>
  <si>
    <t>Execute Project With the Urgency Required to Deliver Business Value</t>
  </si>
  <si>
    <t>Engage Stakeholders and Build Shared Understanding</t>
  </si>
  <si>
    <t>Evaluate and Deliver Project Benefits and Value</t>
  </si>
  <si>
    <t>Manage Project Artifacts</t>
  </si>
  <si>
    <t>Support Team Performance by Providing Adequate Training</t>
  </si>
  <si>
    <t>Plan and Manage Schedule</t>
  </si>
  <si>
    <t>Evaluate and Address External Business Environment Changes for Impact on Scope</t>
  </si>
  <si>
    <t>Define Team Ground Rules</t>
  </si>
  <si>
    <t>Build and Lead a Team</t>
  </si>
  <si>
    <t>Integrate Project Planning Activities</t>
  </si>
  <si>
    <t>Empower Team Members and Stakeholders</t>
  </si>
  <si>
    <t>Plan and Manage Project Compliance</t>
  </si>
  <si>
    <t>Support Organizational Change</t>
  </si>
  <si>
    <t>Negotiate Project Agreements</t>
  </si>
  <si>
    <t>Determine Appropriate Project Methodology/methods and Practices</t>
  </si>
  <si>
    <t>Plan and Manage Procurement</t>
  </si>
  <si>
    <t>Engage and Support Virtual Teams</t>
  </si>
  <si>
    <t>Manage communications</t>
  </si>
  <si>
    <t>Ensure Knowledge Transfer for Project Continuity</t>
  </si>
  <si>
    <t>Title</t>
  </si>
  <si>
    <t>Done</t>
  </si>
  <si>
    <t>Definition</t>
  </si>
  <si>
    <t>Start-to-Start</t>
  </si>
  <si>
    <t>Finish-to-Start</t>
  </si>
  <si>
    <t>Finish-to-Finish</t>
  </si>
  <si>
    <t>Start-to-Finish</t>
  </si>
  <si>
    <t>A recently assigned project manager is working on detailing out all requirements and estimating each task required to complete the implementation of a healthcare system across three countries. What approach is the project manager using?</t>
  </si>
  <si>
    <t>A. Agile | B. Traditional | C. Steel Thread | D. Rolling Wave</t>
  </si>
  <si>
    <t>B. Traditional</t>
  </si>
  <si>
    <t>Traditional (predictive) projects define full scope and estimates upfront to build the schedule.</t>
  </si>
  <si>
    <t>There are three main work packages. A finishes before C starts, and C starts when B starts. What is the relationship between A and B?</t>
  </si>
  <si>
    <t>A. Finish-to-start | B. Finish-to-finish | C. Start-to-start | D. Start-to-finish</t>
  </si>
  <si>
    <t>A. Finish-to-start</t>
  </si>
  <si>
    <t>Since A must finish before C, and C starts with B, A must finish before B.</t>
  </si>
  <si>
    <t>A hybrid project uses waterfall for requirements and agile for development. The team is unfamiliar with both, causing delays. What should have been done?</t>
  </si>
  <si>
    <t>A. Train team | B. Assign experts | C. Daily standups | D. Change methodology</t>
  </si>
  <si>
    <t>C. Daily standups</t>
  </si>
  <si>
    <t>Daily standups improve communication and reduce uncertainty in hybrid environments.</t>
  </si>
  <si>
    <t>A PM estimates a phase with optimistic 11 days, most likely 20, pessimistic 35. What is the estimated duration?</t>
  </si>
  <si>
    <t>A. 19 | B. 21 | C. 23 | D. 25</t>
  </si>
  <si>
    <t>B. 21 days</t>
  </si>
  <si>
    <t>PERT = (11 + 4×20 + 35) / 6 = 21 days.</t>
  </si>
  <si>
    <t>A supplier change adds 10 days but stakeholder refuses schedule extension. What should the PM do?</t>
  </si>
  <si>
    <t>A. Explain delay | B. Update schedule and review | C. Fast track | D. Restart planning</t>
  </si>
  <si>
    <t>B. Update schedule and review</t>
  </si>
  <si>
    <t>PM should manage expectations and keep project moving with updates.</t>
  </si>
  <si>
    <t>Agile project halfway done: 100 stories at $50, 50 done, $2000 spent. Which is true?</t>
  </si>
  <si>
    <t>A. Over budget/behind | B. Under budget/on schedule | C. On budget/on schedule | D. Under budget/ahead</t>
  </si>
  <si>
    <t>B. Under budget and on schedule</t>
  </si>
  <si>
    <t>EV=2500, PV=2500, AC=2000 → SPI=1, CPI=1.25.</t>
  </si>
  <si>
    <t>Planning Poker is used to estimate missed integration work. Who makes the estimate?</t>
  </si>
  <si>
    <t>A. Project team | B. Scrum Master | C. Product owner | D. Stakeholders</t>
  </si>
  <si>
    <t>A. Project team</t>
  </si>
  <si>
    <t>In Agile, estimates are created by the team doing the work.</t>
  </si>
  <si>
    <t>In order to identify and assess the hindering and enabling factors that may affect project delivery as a result of the organization's specific environment, a project manager undertakes an environmental scan. Which of the following combinations represents some of the factors that will be considered in this scan?</t>
  </si>
  <si>
    <t>A. Laws and regulations, market trends, and new technology
B. Published research, articles, and journals
C. Seminars, exhibitions, and upcoming conferences
D. New technology, seminars, and webinars</t>
  </si>
  <si>
    <t>Environmental scanning examines external factors using frameworks such as PESTLE.</t>
  </si>
  <si>
    <t>During the design process for a multinational construction project, the project manager conducted a cost-benefit analysis based on current foreign exchange rates. The exchange rate has fallen significantly. What should the project manager do as a proactive action?</t>
  </si>
  <si>
    <t>A. Update the risk management plan
B. Escalate the issue to the project sponsor
C. Submit a budget increase change request
D. Conduct a new cost-benefit analysis</t>
  </si>
  <si>
    <t>A new cost-benefit analysis quantifies the impact of exchange rate changes before escalation.</t>
  </si>
  <si>
    <t>A company is using a predictive approach for the development of a component. Due to changing regulatory requirements, the team requests agile approaches. What should the project manager do?</t>
  </si>
  <si>
    <t>A. Escalate request for funding
B. Analyze requirements under requested method
C. Forward request to PMO
D. Ask sponsor for approval</t>
  </si>
  <si>
    <t>Hybrid scenario—analyze requirements before approvals or escalation.</t>
  </si>
  <si>
    <t>Hard</t>
  </si>
  <si>
    <t>A meeting is scheduled to discuss what went well, what did not, and plan improvements for future iterations. Which meeting is described?</t>
  </si>
  <si>
    <t>A. Iteration planning
B. Retrospective
C. Daily stand-up
D. Backlog refinement</t>
  </si>
  <si>
    <t>Retrospectives focus on lessons learned and improvement actions.</t>
  </si>
  <si>
    <t>A stakeholder asks why iteration reviews are held so frequently in a hybrid project. How should the project manager respond?</t>
  </si>
  <si>
    <t>A. Explain benefits of frequent reviews
B. Reduce attendance
C. Enforce engagement plan
D. Escalate to sponsor</t>
  </si>
  <si>
    <t>Frequent reviews increase value and reduce rework in hybrid/agile projects.</t>
  </si>
  <si>
    <t>A sales manager is overpromising deliverables beyond the contractual scope. What project data should the project manager consult?</t>
  </si>
  <si>
    <t>A. Stakeholder power/interest grid
B. Communications management plan
C. Resource breakdown structure
D. Organizational process assets</t>
  </si>
  <si>
    <t>Stakeholder power/interest grid identifies authority, influence, and support of stakeholders.</t>
  </si>
  <si>
    <t>In the company cafeteria, a PM overhears an unengaged stakeholder mocking the status report. What should the PM do?</t>
  </si>
  <si>
    <t>A. Meet privately
B. Ask PR officer
C. Stop reports
D. Update social contract</t>
  </si>
  <si>
    <t>Direct engagement helps re‑engage stakeholders and tailor communication.</t>
  </si>
  <si>
    <t>Two key stakeholders disagree on project goals early in the project. Why should the PM negotiate agreement?</t>
  </si>
  <si>
    <t>A. Understand influence
B. Obtain charter approval
C. Engage conflict resolution
D. Discuss at kickoff</t>
  </si>
  <si>
    <t>Agreement is required to approve the project charter.</t>
  </si>
  <si>
    <t>Projects with cross‑project dependencies use different methodologies. What approach should be used?</t>
  </si>
  <si>
    <t>A. Hybrid
B. Agile
C. Predictive
D. Iterative</t>
  </si>
  <si>
    <t>Hybrid enables coordination between predictive and agile projects.</t>
  </si>
  <si>
    <t>A PM needs to replace a resigned architect. What document should be consulted?</t>
  </si>
  <si>
    <t>A. Stakeholder register
B. PM plan
C. RAM
D. OPA</t>
  </si>
  <si>
    <t>OPAs include staffing and recruitment procedures.</t>
  </si>
  <si>
    <t>Which leadership behavior is least likely to boost motivation in an Agile team?</t>
  </si>
  <si>
    <t>A. Dictate tool usage
B. Vote on methods
C. Assign backlog tasks
D. Ask for volunteer</t>
  </si>
  <si>
    <t>Command‑and‑control behavior reduces autonomy and motivation.</t>
  </si>
  <si>
    <t>A diverse global team is newly formed. How should the PM address this?</t>
  </si>
  <si>
    <t>A. Leverage perspectives
B. Appoint delegates
C. Mandatory training
D. Authoritative intervention</t>
  </si>
  <si>
    <t>Diversity should be leveraged as a productivity strength.</t>
  </si>
  <si>
    <t>A team has little experience with new equipment but has received training. How can effectiveness be maximized?</t>
  </si>
  <si>
    <t>A. SME demo
B. Peer mentoring
C. Proof of concept
D. Functional manager</t>
  </si>
  <si>
    <t>Peer‑to‑peer mentoring reinforces learning and retention.</t>
  </si>
  <si>
    <t xml:space="preserve">
Empower Team Members and Stakeholders</t>
  </si>
  <si>
    <t>Who will be accountable for ensuring the project brings value to the organization?</t>
  </si>
  <si>
    <t>A. Project sponsor | B. Project manager | C. Solution architect | D. Steering committee</t>
  </si>
  <si>
    <t>A. Project sponsor</t>
  </si>
  <si>
    <t>The project sponsor is accountable for ensuring the project delivers business value and aligns with organizational strategy.</t>
  </si>
  <si>
    <t>How should the project manager address poor teamwork, low performance, and poor quality results in a matrix organization?</t>
  </si>
  <si>
    <t>A. Conduct a team meeting | B. Meet individually | C. Create communication plan | D. Reassign roles</t>
  </si>
  <si>
    <t>A. Conduct a team meeting</t>
  </si>
  <si>
    <t>Bringing the team together helps identify root causes and develop solutions collaboratively.</t>
  </si>
  <si>
    <t>What should the project manager do next after finalizing the planning phase and preparing for execution?</t>
  </si>
  <si>
    <t>A. Create charter | B. Put plan into action | C. Ensure deliverables | D. Address risks</t>
  </si>
  <si>
    <t>B. Put the project plan into action</t>
  </si>
  <si>
    <t>Executing phase focuses on carrying out the project plan to deliver objectives.</t>
  </si>
  <si>
    <t>A team member received a request from a stakeholder to conduct a quantitative risk analysis. The team member is not certain exactly what the stakeholder requested and comes to the project manager for guidance. What should the project manager do in this situation?</t>
  </si>
  <si>
    <t>A. Communicate to the stakeholder that all requests should come through the project manager.
B. Meet with the team to see if any of the other team members can perform the requested analysis.
C. Work with the team member and stakeholder to ensure proper task assignment processes are clear and followed.
D. Perform the risk analysis for the team member, providing it to them so that they can provide it to the stakeholder.</t>
  </si>
  <si>
    <t>The project manager should ensure clear communication and proper task assignment processes and support the team as a servant leader.</t>
  </si>
  <si>
    <t>A project manager is leading a complex project with diverse stakeholders and a strict regulatory environment. The project team is struggling to consistently achieve compliance with project processes, leading to delays and rework. What should the project manager do to effectively motivate the team to comply with project processes?</t>
  </si>
  <si>
    <t>A. Offer individual performance-based bonuses for exceeding compliance targets.
B. Implement a system of frequent audits and compliance checks.
C. Develop and communicate a compelling vision and rationale for the overall project goals.
D. Facilitate team workshops to collaboratively identify and address compliance challenges.</t>
  </si>
  <si>
    <t>Facilitating workshops increases ownership, collaboration, and intrinsic motivation to address compliance challenges.</t>
  </si>
  <si>
    <t>During a project meeting, a project manager is made aware that team members find it very difficult to verify completed deliverables for compliance as no reference documents exist with the information on specifications and related customer needs. Which document can be used to identify and relate the specific customer needs in this instance?</t>
  </si>
  <si>
    <t>A. Business case
B. Project charter
C. Requirement traceability matrix
D. Responsibility assignment matrix</t>
  </si>
  <si>
    <t>A requirement traceability matrix maps customer needs to deliverables and acceptance criteria.</t>
  </si>
  <si>
    <t>After going through a project earned value exception report, a project manager notices that two tasks are flagged with a Cost Performance Index (CPI) of 0.5. Which is the correct deduction the project manager should make from this report?</t>
  </si>
  <si>
    <t>A. Each task has spent twice the budgeted amount it should have at this point
B. Each task has spent half the amount it should have at this point
C. Each task has spent half the budgeted amount it should have at this point
D. Each task has spent a quarter the amount it should have at this point</t>
  </si>
  <si>
    <t>A CPI of 0.5 indicates cost overrun; only half the earned value is achieved for the cost spent.</t>
  </si>
  <si>
    <t>An agile team is working on a new product development project. The product owner has requested a new change... What should the project manager do next?</t>
  </si>
  <si>
    <t>C. Ensure the change request has been added to the product backlog</t>
  </si>
  <si>
    <t>In agile, changes must be added to the backlog to be prioritized and sized. Implementing or rejecting before that bypasses proper process.</t>
  </si>
  <si>
    <t>A project team completed a milestone and is on track to deliver early. Which type of rewards will improve team cohesion?</t>
  </si>
  <si>
    <t>A. Provide a team reward to all involved in the project</t>
  </si>
  <si>
    <t>Team-wide rewards encourage cohesion; focusing rewards on individuals can harm morale and teamwork.</t>
  </si>
  <si>
    <t>A team member reports to both a project and a functional manager. What org structure is this?</t>
  </si>
  <si>
    <t>A. Matrix</t>
  </si>
  <si>
    <t>Dual reporting (project &amp; line manager) characterizes matrix structures.</t>
  </si>
  <si>
    <t>A project manager needs to persuade stakeholders in a complex project. What should they do?</t>
  </si>
  <si>
    <t>A. Discuss the business case for the project</t>
  </si>
  <si>
    <t>First, understand the reasons for disagreement. Identifying conflict sources is critical in negotiation.</t>
  </si>
  <si>
    <t>A manager deals with multiple stakeholders and competing priorities. What should they do to achieve better results?</t>
  </si>
  <si>
    <t>A. Identify and seek stakeholder consensus on project objectives and deliverables</t>
  </si>
  <si>
    <t>Getting all stakeholders aligned on shared objectives improves focus and outcomes.</t>
  </si>
  <si>
    <t>During stakeholder consensus meeting, what helped the manager reach consensus?</t>
  </si>
  <si>
    <t>B. Focused on finding a solution to meet the needs of stakeholders</t>
  </si>
  <si>
    <t>Consensus is easier via collaboration focused on stakeholder needs rather than individual interests.</t>
  </si>
  <si>
    <t>A complex project requires negotiations to finalize an agreement. What should be done first?</t>
  </si>
  <si>
    <t>B. Organize a brainstorming session with all stakeholders</t>
  </si>
  <si>
    <t>Defining success criteria provides a foundation for negotiation and priority alignment.</t>
  </si>
  <si>
    <t>In agile delivery planning, how should a team ensure project objectives are met?</t>
  </si>
  <si>
    <t>A. Organize workshops with business stakeholders and the project team</t>
  </si>
  <si>
    <t>A clear deliverable evaluation as a final QA checkpoint ensures validation of objectives.</t>
  </si>
  <si>
    <t xml:space="preserve">
Engage and Support Virtual Teams</t>
  </si>
  <si>
    <t xml:space="preserve">
Manage communications</t>
  </si>
  <si>
    <t xml:space="preserve">
Ensure Knowledge Transfer for Project Continuity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</si>
</sst>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scheme val="minor"/>
    </font>
    <font>
      <sz val="10"/>
      <color rgb="FF000000"/>
      <name val="Arial"/>
      <family val="2"/>
      <scheme val="minor"/>
    </font>
    <font>
      <sz val="10"/>
      <color theme="1"/>
      <name val="Arial"/>
      <family val="2"/>
      <scheme val="minor"/>
    </font>
    <font>
      <sz val="11"/>
      <color rgb="FF006100"/>
      <name val="Arial"/>
      <family val="2"/>
      <scheme val="minor"/>
    </font>
    <font>
      <b/>
      <sz val="10"/>
      <color rgb="FF000000"/>
      <name val="Arial"/>
      <scheme val="minor"/>
    </font>
    <font>
      <sz val="11"/>
      <color rgb="FF9C0006"/>
      <name val="Arial"/>
      <family val="2"/>
      <scheme val="minor"/>
    </font>
    <font>
      <sz val="11"/>
      <color rgb="FF9C5700"/>
      <name val="Arial"/>
      <family val="2"/>
      <scheme val="minor"/>
    </font>
    <font>
      <b/>
      <sz val="10"/>
      <color rgb="FF000000"/>
      <name val="Arial"/>
      <family val="2"/>
      <scheme val="minor"/>
    </font>
    <font>
      <sz val="8"/>
      <name val="Arial"/>
      <family val="2"/>
      <scheme val="minor"/>
    </font>
    <font>
      <u/>
      <sz val="7"/>
      <color rgb="FF4F17A8"/>
      <name val="Arial"/>
      <family val="2"/>
      <scheme val="minor"/>
    </font>
    <font>
      <u/>
      <sz val="10"/>
      <color theme="10"/>
      <name val="Arial"/>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9">
    <xf numFmtId="0" fontId="0" fillId="0" borderId="0"/>
    <xf numFmtId="0" fontId="8"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4" fillId="0" borderId="0"/>
    <xf numFmtId="0" fontId="3" fillId="0" borderId="0"/>
    <xf numFmtId="0" fontId="15" fillId="0" borderId="0" applyNumberFormat="0" applyFill="0" applyBorder="0" applyAlignment="0" applyProtection="0"/>
    <xf numFmtId="0" fontId="2" fillId="0" borderId="0"/>
    <xf numFmtId="0" fontId="1" fillId="0" borderId="0"/>
  </cellStyleXfs>
  <cellXfs count="57">
    <xf numFmtId="0" fontId="0" fillId="0" borderId="0" xfId="0" applyFont="1" applyAlignment="1"/>
    <xf numFmtId="0" fontId="5" fillId="0" borderId="0" xfId="0" applyFont="1" applyAlignment="1"/>
    <xf numFmtId="0" fontId="0" fillId="0" borderId="0" xfId="0" applyFont="1" applyAlignment="1">
      <alignment wrapText="1"/>
    </xf>
    <xf numFmtId="0" fontId="6" fillId="0" borderId="0" xfId="0" applyFont="1" applyAlignment="1">
      <alignment wrapText="1"/>
    </xf>
    <xf numFmtId="0" fontId="6" fillId="0" borderId="0" xfId="0" applyFont="1" applyAlignment="1"/>
    <xf numFmtId="0" fontId="7" fillId="0" borderId="0" xfId="0" applyFont="1" applyAlignment="1"/>
    <xf numFmtId="0" fontId="5" fillId="0" borderId="0" xfId="0" applyFont="1" applyAlignment="1">
      <alignment wrapText="1"/>
    </xf>
    <xf numFmtId="164" fontId="5" fillId="0" borderId="0" xfId="0" applyNumberFormat="1" applyFont="1" applyAlignment="1"/>
    <xf numFmtId="164" fontId="0" fillId="0" borderId="0" xfId="0" applyNumberFormat="1" applyFont="1" applyAlignment="1"/>
    <xf numFmtId="14" fontId="0" fillId="0" borderId="0" xfId="0" applyNumberFormat="1" applyFont="1" applyAlignment="1"/>
    <xf numFmtId="164" fontId="8" fillId="2" borderId="0" xfId="1" applyNumberFormat="1" applyAlignment="1"/>
    <xf numFmtId="0" fontId="7" fillId="0" borderId="0" xfId="0" applyFont="1" applyAlignment="1">
      <alignment wrapText="1"/>
    </xf>
    <xf numFmtId="0" fontId="0" fillId="0" borderId="0" xfId="0"/>
    <xf numFmtId="0" fontId="4" fillId="0" borderId="0" xfId="4"/>
    <xf numFmtId="0" fontId="4" fillId="0" borderId="0" xfId="4" applyFill="1"/>
    <xf numFmtId="0" fontId="4" fillId="0" borderId="0" xfId="4"/>
    <xf numFmtId="10" fontId="6" fillId="0" borderId="0" xfId="0" applyNumberFormat="1" applyFont="1" applyAlignment="1"/>
    <xf numFmtId="0" fontId="11" fillId="4" borderId="0" xfId="3" applyAlignment="1">
      <alignment wrapText="1"/>
    </xf>
    <xf numFmtId="0" fontId="4" fillId="0" borderId="0" xfId="4"/>
    <xf numFmtId="0" fontId="12" fillId="0" borderId="0" xfId="0" applyFont="1" applyAlignment="1"/>
    <xf numFmtId="0" fontId="6" fillId="0" borderId="0" xfId="0" applyFont="1" applyAlignment="1">
      <alignment horizontal="center" vertical="center" wrapText="1"/>
    </xf>
    <xf numFmtId="0" fontId="6" fillId="0" borderId="0" xfId="0" applyFont="1" applyAlignment="1">
      <alignment vertical="center" wrapText="1"/>
    </xf>
    <xf numFmtId="0" fontId="10" fillId="3" borderId="0" xfId="2" applyAlignment="1"/>
    <xf numFmtId="0" fontId="10" fillId="3" borderId="0" xfId="2" applyAlignment="1">
      <alignment wrapText="1"/>
    </xf>
    <xf numFmtId="0" fontId="10" fillId="3" borderId="0" xfId="2"/>
    <xf numFmtId="0" fontId="4" fillId="0" borderId="0" xfId="4"/>
    <xf numFmtId="0" fontId="4" fillId="0" borderId="0" xfId="4"/>
    <xf numFmtId="0" fontId="4" fillId="0" borderId="0" xfId="4"/>
    <xf numFmtId="0" fontId="4" fillId="0" borderId="0" xfId="4"/>
    <xf numFmtId="0" fontId="4" fillId="0" borderId="0" xfId="4"/>
    <xf numFmtId="0" fontId="6" fillId="0" borderId="0" xfId="0" quotePrefix="1" applyFont="1" applyAlignment="1">
      <alignment wrapText="1"/>
    </xf>
    <xf numFmtId="0" fontId="4" fillId="0" borderId="0" xfId="4"/>
    <xf numFmtId="0" fontId="3" fillId="0" borderId="0" xfId="5"/>
    <xf numFmtId="0" fontId="0" fillId="0" borderId="0" xfId="0" quotePrefix="1" applyFont="1" applyAlignment="1"/>
    <xf numFmtId="0" fontId="3" fillId="0" borderId="0" xfId="5"/>
    <xf numFmtId="0" fontId="14" fillId="0" borderId="0" xfId="0" applyFont="1" applyAlignment="1"/>
    <xf numFmtId="0" fontId="3" fillId="0" borderId="0" xfId="5"/>
    <xf numFmtId="0" fontId="3" fillId="0" borderId="0" xfId="5"/>
    <xf numFmtId="0" fontId="3" fillId="0" borderId="0" xfId="5"/>
    <xf numFmtId="0" fontId="3" fillId="0" borderId="0" xfId="5"/>
    <xf numFmtId="0" fontId="15" fillId="0" borderId="0" xfId="6" applyAlignment="1">
      <alignment horizontal="left" vertical="center" wrapText="1" indent="1"/>
    </xf>
    <xf numFmtId="0" fontId="2" fillId="0" borderId="0" xfId="7"/>
    <xf numFmtId="0" fontId="2" fillId="0" borderId="0" xfId="7"/>
    <xf numFmtId="0" fontId="1" fillId="0" borderId="0" xfId="8"/>
    <xf numFmtId="0" fontId="1" fillId="0" borderId="0" xfId="8"/>
    <xf numFmtId="0" fontId="1" fillId="0" borderId="0" xfId="8"/>
    <xf numFmtId="0" fontId="5" fillId="0" borderId="0" xfId="0" applyFont="1" applyAlignment="1">
      <alignment vertical="top" wrapText="1"/>
    </xf>
    <xf numFmtId="0" fontId="5" fillId="0" borderId="0" xfId="0" applyFont="1" applyAlignment="1">
      <alignment vertical="top"/>
    </xf>
    <xf numFmtId="0" fontId="4" fillId="0" borderId="0" xfId="4" applyAlignment="1">
      <alignment vertical="top"/>
    </xf>
    <xf numFmtId="0" fontId="0" fillId="0" borderId="0" xfId="0" applyAlignment="1">
      <alignment vertical="top"/>
    </xf>
    <xf numFmtId="0" fontId="3" fillId="0" borderId="0" xfId="5" applyAlignment="1">
      <alignment vertical="top"/>
    </xf>
    <xf numFmtId="0" fontId="2" fillId="0" borderId="0" xfId="7" applyAlignment="1">
      <alignment vertical="top"/>
    </xf>
    <xf numFmtId="0" fontId="1" fillId="0" borderId="0" xfId="8" applyAlignment="1">
      <alignment vertical="top"/>
    </xf>
    <xf numFmtId="0" fontId="0" fillId="0" borderId="0" xfId="0" applyFont="1" applyAlignment="1">
      <alignment vertical="top"/>
    </xf>
    <xf numFmtId="0" fontId="0"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xf>
  </cellXfs>
  <cellStyles count="9">
    <cellStyle name="Bad" xfId="2" builtinId="27"/>
    <cellStyle name="Good" xfId="1" builtinId="26"/>
    <cellStyle name="Hyperlink" xfId="6" builtinId="8"/>
    <cellStyle name="Neutral" xfId="3" builtinId="28"/>
    <cellStyle name="Normal" xfId="0" builtinId="0"/>
    <cellStyle name="Normal 2" xfId="4" xr:uid="{E1208F1A-016B-4B60-9C43-D432B44EE57F}"/>
    <cellStyle name="Normal 3" xfId="5" xr:uid="{7118966E-D340-4D9E-8D7E-C5AACAAD24AC}"/>
    <cellStyle name="Normal 4" xfId="7" xr:uid="{57D0C38B-470C-4C22-B4AB-58090F605A73}"/>
    <cellStyle name="Normal 5" xfId="8" xr:uid="{CEAD8545-5AE7-402D-AE8D-7C7297634A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udyhall.pmi.org/app/pmi-study-hall-plus-2" TargetMode="External"/><Relationship Id="rId13" Type="http://schemas.openxmlformats.org/officeDocument/2006/relationships/hyperlink" Target="https://studyhall.pmi.org/app/pmi-study-hall-plus-2" TargetMode="External"/><Relationship Id="rId18" Type="http://schemas.openxmlformats.org/officeDocument/2006/relationships/hyperlink" Target="https://studyhall.pmi.org/app/pmi-study-hall-plus-2" TargetMode="External"/><Relationship Id="rId26" Type="http://schemas.openxmlformats.org/officeDocument/2006/relationships/hyperlink" Target="https://studyhall.pmi.org/app/pmi-study-hall-plus-2" TargetMode="External"/><Relationship Id="rId3" Type="http://schemas.openxmlformats.org/officeDocument/2006/relationships/hyperlink" Target="https://studyhall.pmi.org/app/pmi-study-hall-plus-2" TargetMode="External"/><Relationship Id="rId21" Type="http://schemas.openxmlformats.org/officeDocument/2006/relationships/hyperlink" Target="https://studyhall.pmi.org/app/pmi-study-hall-plus-2" TargetMode="External"/><Relationship Id="rId7" Type="http://schemas.openxmlformats.org/officeDocument/2006/relationships/hyperlink" Target="https://studyhall.pmi.org/app/pmi-study-hall-plus-2" TargetMode="External"/><Relationship Id="rId12" Type="http://schemas.openxmlformats.org/officeDocument/2006/relationships/hyperlink" Target="https://studyhall.pmi.org/app/pmi-study-hall-plus-2" TargetMode="External"/><Relationship Id="rId17" Type="http://schemas.openxmlformats.org/officeDocument/2006/relationships/hyperlink" Target="https://studyhall.pmi.org/app/pmi-study-hall-plus-2" TargetMode="External"/><Relationship Id="rId25" Type="http://schemas.openxmlformats.org/officeDocument/2006/relationships/hyperlink" Target="https://studyhall.pmi.org/app/pmi-study-hall-plus-2" TargetMode="External"/><Relationship Id="rId2" Type="http://schemas.openxmlformats.org/officeDocument/2006/relationships/hyperlink" Target="https://studyhall.pmi.org/app/pmi-study-hall-plus-2" TargetMode="External"/><Relationship Id="rId16" Type="http://schemas.openxmlformats.org/officeDocument/2006/relationships/hyperlink" Target="https://studyhall.pmi.org/app/pmi-study-hall-plus-2" TargetMode="External"/><Relationship Id="rId20" Type="http://schemas.openxmlformats.org/officeDocument/2006/relationships/hyperlink" Target="https://studyhall.pmi.org/app/pmi-study-hall-plus-2" TargetMode="External"/><Relationship Id="rId29" Type="http://schemas.openxmlformats.org/officeDocument/2006/relationships/hyperlink" Target="https://studyhall.pmi.org/app/pmi-study-hall-plus-2" TargetMode="External"/><Relationship Id="rId1" Type="http://schemas.openxmlformats.org/officeDocument/2006/relationships/hyperlink" Target="https://studyhall.pmi.org/app/pmi-study-hall-plus-2" TargetMode="External"/><Relationship Id="rId6" Type="http://schemas.openxmlformats.org/officeDocument/2006/relationships/hyperlink" Target="https://studyhall.pmi.org/app/pmi-study-hall-plus-2" TargetMode="External"/><Relationship Id="rId11" Type="http://schemas.openxmlformats.org/officeDocument/2006/relationships/hyperlink" Target="https://studyhall.pmi.org/app/pmi-study-hall-plus-2" TargetMode="External"/><Relationship Id="rId24" Type="http://schemas.openxmlformats.org/officeDocument/2006/relationships/hyperlink" Target="https://studyhall.pmi.org/app/pmi-study-hall-plus-2" TargetMode="External"/><Relationship Id="rId5" Type="http://schemas.openxmlformats.org/officeDocument/2006/relationships/hyperlink" Target="https://studyhall.pmi.org/app/pmi-study-hall-plus-2" TargetMode="External"/><Relationship Id="rId15" Type="http://schemas.openxmlformats.org/officeDocument/2006/relationships/hyperlink" Target="https://studyhall.pmi.org/app/pmi-study-hall-plus-2" TargetMode="External"/><Relationship Id="rId23" Type="http://schemas.openxmlformats.org/officeDocument/2006/relationships/hyperlink" Target="https://studyhall.pmi.org/app/pmi-study-hall-plus-2" TargetMode="External"/><Relationship Id="rId28" Type="http://schemas.openxmlformats.org/officeDocument/2006/relationships/hyperlink" Target="https://studyhall.pmi.org/app/pmi-study-hall-plus-2" TargetMode="External"/><Relationship Id="rId10" Type="http://schemas.openxmlformats.org/officeDocument/2006/relationships/hyperlink" Target="https://studyhall.pmi.org/app/pmi-study-hall-plus-2" TargetMode="External"/><Relationship Id="rId19" Type="http://schemas.openxmlformats.org/officeDocument/2006/relationships/hyperlink" Target="https://studyhall.pmi.org/app/pmi-study-hall-plus-2" TargetMode="External"/><Relationship Id="rId4" Type="http://schemas.openxmlformats.org/officeDocument/2006/relationships/hyperlink" Target="https://studyhall.pmi.org/app/pmi-study-hall-plus-2" TargetMode="External"/><Relationship Id="rId9" Type="http://schemas.openxmlformats.org/officeDocument/2006/relationships/hyperlink" Target="https://studyhall.pmi.org/app/pmi-study-hall-plus-2" TargetMode="External"/><Relationship Id="rId14" Type="http://schemas.openxmlformats.org/officeDocument/2006/relationships/hyperlink" Target="https://studyhall.pmi.org/app/pmi-study-hall-plus-2" TargetMode="External"/><Relationship Id="rId22" Type="http://schemas.openxmlformats.org/officeDocument/2006/relationships/hyperlink" Target="https://studyhall.pmi.org/app/pmi-study-hall-plus-2" TargetMode="External"/><Relationship Id="rId27" Type="http://schemas.openxmlformats.org/officeDocument/2006/relationships/hyperlink" Target="https://studyhall.pmi.org/app/pmi-study-hall-plus-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85DB-C902-49CE-948B-BDA0157E2AD0}">
  <dimension ref="B2:D31"/>
  <sheetViews>
    <sheetView zoomScale="121" workbookViewId="0">
      <selection activeCell="D26" sqref="D26"/>
    </sheetView>
  </sheetViews>
  <sheetFormatPr defaultRowHeight="12.5" x14ac:dyDescent="0.25"/>
  <cols>
    <col min="1" max="1" width="3.1796875" customWidth="1"/>
    <col min="2" max="2" width="2.81640625" bestFit="1" customWidth="1"/>
    <col min="3" max="3" width="71.54296875" bestFit="1" customWidth="1"/>
  </cols>
  <sheetData>
    <row r="2" spans="2:4" ht="13" x14ac:dyDescent="0.3">
      <c r="B2" s="19" t="s">
        <v>163</v>
      </c>
      <c r="C2" s="19" t="s">
        <v>847</v>
      </c>
      <c r="D2" s="19" t="s">
        <v>848</v>
      </c>
    </row>
    <row r="3" spans="2:4" x14ac:dyDescent="0.25">
      <c r="B3">
        <v>1</v>
      </c>
      <c r="C3" s="40" t="s">
        <v>823</v>
      </c>
      <c r="D3" s="4" t="s">
        <v>289</v>
      </c>
    </row>
    <row r="4" spans="2:4" x14ac:dyDescent="0.25">
      <c r="B4">
        <v>2</v>
      </c>
      <c r="C4" s="40" t="s">
        <v>398</v>
      </c>
      <c r="D4" s="4" t="s">
        <v>289</v>
      </c>
    </row>
    <row r="5" spans="2:4" x14ac:dyDescent="0.25">
      <c r="B5">
        <v>3</v>
      </c>
      <c r="C5" s="40" t="s">
        <v>824</v>
      </c>
      <c r="D5" s="4" t="s">
        <v>289</v>
      </c>
    </row>
    <row r="6" spans="2:4" x14ac:dyDescent="0.25">
      <c r="B6">
        <v>4</v>
      </c>
      <c r="C6" s="40" t="s">
        <v>825</v>
      </c>
      <c r="D6" s="4" t="s">
        <v>289</v>
      </c>
    </row>
    <row r="7" spans="2:4" x14ac:dyDescent="0.25">
      <c r="B7">
        <v>5</v>
      </c>
      <c r="C7" s="40" t="s">
        <v>826</v>
      </c>
      <c r="D7" s="4" t="s">
        <v>289</v>
      </c>
    </row>
    <row r="8" spans="2:4" x14ac:dyDescent="0.25">
      <c r="B8">
        <v>6</v>
      </c>
      <c r="C8" s="40" t="s">
        <v>653</v>
      </c>
      <c r="D8" s="4" t="s">
        <v>289</v>
      </c>
    </row>
    <row r="9" spans="2:4" x14ac:dyDescent="0.25">
      <c r="B9">
        <v>7</v>
      </c>
      <c r="C9" s="40" t="s">
        <v>684</v>
      </c>
      <c r="D9" s="4" t="s">
        <v>289</v>
      </c>
    </row>
    <row r="10" spans="2:4" x14ac:dyDescent="0.25">
      <c r="B10">
        <v>8</v>
      </c>
      <c r="C10" s="40" t="s">
        <v>760</v>
      </c>
      <c r="D10" s="4" t="s">
        <v>289</v>
      </c>
    </row>
    <row r="11" spans="2:4" x14ac:dyDescent="0.25">
      <c r="B11">
        <v>9</v>
      </c>
      <c r="C11" s="40" t="s">
        <v>827</v>
      </c>
      <c r="D11" s="4" t="s">
        <v>289</v>
      </c>
    </row>
    <row r="12" spans="2:4" x14ac:dyDescent="0.25">
      <c r="B12">
        <v>10</v>
      </c>
      <c r="C12" s="40" t="s">
        <v>828</v>
      </c>
      <c r="D12" s="4" t="s">
        <v>289</v>
      </c>
    </row>
    <row r="13" spans="2:4" x14ac:dyDescent="0.25">
      <c r="B13">
        <v>11</v>
      </c>
      <c r="C13" s="40" t="s">
        <v>784</v>
      </c>
      <c r="D13" s="4" t="s">
        <v>289</v>
      </c>
    </row>
    <row r="14" spans="2:4" x14ac:dyDescent="0.25">
      <c r="B14">
        <v>12</v>
      </c>
      <c r="C14" s="40" t="s">
        <v>829</v>
      </c>
      <c r="D14" s="4" t="s">
        <v>289</v>
      </c>
    </row>
    <row r="15" spans="2:4" x14ac:dyDescent="0.25">
      <c r="B15">
        <v>13</v>
      </c>
      <c r="C15" s="40" t="s">
        <v>830</v>
      </c>
      <c r="D15" t="s">
        <v>289</v>
      </c>
    </row>
    <row r="16" spans="2:4" x14ac:dyDescent="0.25">
      <c r="B16">
        <v>14</v>
      </c>
      <c r="C16" s="40" t="s">
        <v>831</v>
      </c>
      <c r="D16" t="s">
        <v>289</v>
      </c>
    </row>
    <row r="17" spans="2:4" x14ac:dyDescent="0.25">
      <c r="B17">
        <v>15</v>
      </c>
      <c r="C17" s="40" t="s">
        <v>832</v>
      </c>
      <c r="D17" t="s">
        <v>289</v>
      </c>
    </row>
    <row r="18" spans="2:4" x14ac:dyDescent="0.25">
      <c r="B18">
        <v>16</v>
      </c>
      <c r="C18" s="40" t="s">
        <v>833</v>
      </c>
      <c r="D18" t="s">
        <v>289</v>
      </c>
    </row>
    <row r="19" spans="2:4" x14ac:dyDescent="0.25">
      <c r="B19">
        <v>17</v>
      </c>
      <c r="C19" s="40" t="s">
        <v>834</v>
      </c>
      <c r="D19" s="4" t="s">
        <v>289</v>
      </c>
    </row>
    <row r="20" spans="2:4" x14ac:dyDescent="0.25">
      <c r="B20">
        <v>18</v>
      </c>
      <c r="C20" s="40" t="s">
        <v>835</v>
      </c>
      <c r="D20" s="4" t="s">
        <v>289</v>
      </c>
    </row>
    <row r="21" spans="2:4" x14ac:dyDescent="0.25">
      <c r="B21">
        <v>19</v>
      </c>
      <c r="C21" s="40" t="s">
        <v>836</v>
      </c>
      <c r="D21" s="4" t="s">
        <v>289</v>
      </c>
    </row>
    <row r="22" spans="2:4" x14ac:dyDescent="0.25">
      <c r="B22">
        <v>20</v>
      </c>
      <c r="C22" s="40" t="s">
        <v>837</v>
      </c>
      <c r="D22" s="4" t="s">
        <v>289</v>
      </c>
    </row>
    <row r="23" spans="2:4" x14ac:dyDescent="0.25">
      <c r="B23">
        <v>21</v>
      </c>
      <c r="C23" s="40" t="s">
        <v>838</v>
      </c>
      <c r="D23" s="4" t="s">
        <v>289</v>
      </c>
    </row>
    <row r="24" spans="2:4" x14ac:dyDescent="0.25">
      <c r="B24">
        <v>22</v>
      </c>
      <c r="C24" s="40" t="s">
        <v>839</v>
      </c>
      <c r="D24" s="4" t="s">
        <v>289</v>
      </c>
    </row>
    <row r="25" spans="2:4" x14ac:dyDescent="0.25">
      <c r="B25">
        <v>23</v>
      </c>
      <c r="C25" s="40" t="s">
        <v>840</v>
      </c>
      <c r="D25" s="4" t="s">
        <v>289</v>
      </c>
    </row>
    <row r="26" spans="2:4" x14ac:dyDescent="0.25">
      <c r="B26">
        <v>24</v>
      </c>
      <c r="C26" s="40" t="s">
        <v>841</v>
      </c>
      <c r="D26" s="4" t="s">
        <v>289</v>
      </c>
    </row>
    <row r="27" spans="2:4" x14ac:dyDescent="0.25">
      <c r="B27">
        <v>25</v>
      </c>
      <c r="C27" s="40" t="s">
        <v>842</v>
      </c>
    </row>
    <row r="28" spans="2:4" x14ac:dyDescent="0.25">
      <c r="B28">
        <v>26</v>
      </c>
      <c r="C28" s="40" t="s">
        <v>843</v>
      </c>
    </row>
    <row r="29" spans="2:4" x14ac:dyDescent="0.25">
      <c r="B29">
        <v>27</v>
      </c>
      <c r="C29" s="40" t="s">
        <v>844</v>
      </c>
    </row>
    <row r="30" spans="2:4" x14ac:dyDescent="0.25">
      <c r="B30">
        <v>28</v>
      </c>
      <c r="C30" s="40" t="s">
        <v>845</v>
      </c>
    </row>
    <row r="31" spans="2:4" x14ac:dyDescent="0.25">
      <c r="B31">
        <v>29</v>
      </c>
      <c r="C31" s="40" t="s">
        <v>846</v>
      </c>
    </row>
  </sheetData>
  <hyperlinks>
    <hyperlink ref="C3" r:id="rId1" display="https://studyhall.pmi.org/app/pmi-study-hall-plus-2" xr:uid="{5B69F0F6-7913-4C68-A9FE-C05944BE8E61}"/>
    <hyperlink ref="C4" r:id="rId2" display="https://studyhall.pmi.org/app/pmi-study-hall-plus-2" xr:uid="{9CD66226-26E0-40B8-AFBD-9AF5CD54D844}"/>
    <hyperlink ref="C5" r:id="rId3" display="https://studyhall.pmi.org/app/pmi-study-hall-plus-2" xr:uid="{28D0096D-4D3F-4A83-8A23-C7350DC1FCCB}"/>
    <hyperlink ref="C6" r:id="rId4" display="https://studyhall.pmi.org/app/pmi-study-hall-plus-2" xr:uid="{F1F67769-5C8D-4123-9BD9-A1959DA758F4}"/>
    <hyperlink ref="C7" r:id="rId5" display="https://studyhall.pmi.org/app/pmi-study-hall-plus-2" xr:uid="{05C3B0C3-21D2-4039-954F-047498C31388}"/>
    <hyperlink ref="C8" r:id="rId6" display="https://studyhall.pmi.org/app/pmi-study-hall-plus-2" xr:uid="{567EFF46-86F6-48E8-A4F0-5F795B32A0FB}"/>
    <hyperlink ref="C9" r:id="rId7" display="https://studyhall.pmi.org/app/pmi-study-hall-plus-2" xr:uid="{8158D8B6-1421-4BAA-83F1-14B81DEF94BE}"/>
    <hyperlink ref="C10" r:id="rId8" display="https://studyhall.pmi.org/app/pmi-study-hall-plus-2" xr:uid="{6D09626A-2C7A-47E5-A36C-74F37E0456AC}"/>
    <hyperlink ref="C11" r:id="rId9" display="https://studyhall.pmi.org/app/pmi-study-hall-plus-2" xr:uid="{AB542FCB-FB78-47E9-AD02-0342BD5B1FC7}"/>
    <hyperlink ref="C12" r:id="rId10" display="https://studyhall.pmi.org/app/pmi-study-hall-plus-2" xr:uid="{448C6EAA-0319-4B83-840E-0F0ABD45DB28}"/>
    <hyperlink ref="C13" r:id="rId11" display="https://studyhall.pmi.org/app/pmi-study-hall-plus-2" xr:uid="{CB3A5436-5ADE-4404-BAFC-643F82F2E58D}"/>
    <hyperlink ref="C14" r:id="rId12" display="https://studyhall.pmi.org/app/pmi-study-hall-plus-2" xr:uid="{2FF2494B-1206-4764-B493-EDFD0B29FEC2}"/>
    <hyperlink ref="C15" r:id="rId13" display="https://studyhall.pmi.org/app/pmi-study-hall-plus-2" xr:uid="{241BD7A5-FA72-45D1-B1BA-B1942C20329A}"/>
    <hyperlink ref="C16" r:id="rId14" display="https://studyhall.pmi.org/app/pmi-study-hall-plus-2" xr:uid="{A030BC0E-AE29-4348-A104-5EAD578BDE1B}"/>
    <hyperlink ref="C17" r:id="rId15" display="https://studyhall.pmi.org/app/pmi-study-hall-plus-2" xr:uid="{BE449ED9-288C-43A6-A185-B9CB0D50C17F}"/>
    <hyperlink ref="C18" r:id="rId16" display="https://studyhall.pmi.org/app/pmi-study-hall-plus-2" xr:uid="{16CDBC79-8966-4DB3-9599-CA860E7B6C88}"/>
    <hyperlink ref="C19" r:id="rId17" display="https://studyhall.pmi.org/app/pmi-study-hall-plus-2" xr:uid="{E3BFCA8D-9572-4642-A048-5406F7D31F1D}"/>
    <hyperlink ref="C20" r:id="rId18" display="https://studyhall.pmi.org/app/pmi-study-hall-plus-2" xr:uid="{41C7BE8D-A77E-4126-AE60-6D5F507C2D46}"/>
    <hyperlink ref="C21" r:id="rId19" display="https://studyhall.pmi.org/app/pmi-study-hall-plus-2" xr:uid="{38D42ECC-5398-48E4-9F15-9C340A918D44}"/>
    <hyperlink ref="C22" r:id="rId20" display="https://studyhall.pmi.org/app/pmi-study-hall-plus-2" xr:uid="{8E06FFCA-BA76-49BC-8F3C-F196794428D0}"/>
    <hyperlink ref="C23" r:id="rId21" display="https://studyhall.pmi.org/app/pmi-study-hall-plus-2" xr:uid="{386C35CF-4423-457B-9DCE-B12CF350CA12}"/>
    <hyperlink ref="C24" r:id="rId22" display="https://studyhall.pmi.org/app/pmi-study-hall-plus-2" xr:uid="{7F4F4C51-9F35-4C59-B549-8E89D1D9D065}"/>
    <hyperlink ref="C25" r:id="rId23" display="https://studyhall.pmi.org/app/pmi-study-hall-plus-2" xr:uid="{C4FD76E0-12D2-4BB3-9377-A8823547B6F5}"/>
    <hyperlink ref="C26" r:id="rId24" display="https://studyhall.pmi.org/app/pmi-study-hall-plus-2" xr:uid="{8BA36C7A-40A9-47FD-ADDE-0EC47F81622B}"/>
    <hyperlink ref="C27" r:id="rId25" display="https://studyhall.pmi.org/app/pmi-study-hall-plus-2" xr:uid="{3524DB15-29F1-4087-A223-D23500E68512}"/>
    <hyperlink ref="C28" r:id="rId26" display="https://studyhall.pmi.org/app/pmi-study-hall-plus-2" xr:uid="{4B9F0A71-0F0C-4424-B32A-098868E26484}"/>
    <hyperlink ref="C29" r:id="rId27" display="https://studyhall.pmi.org/app/pmi-study-hall-plus-2" xr:uid="{37F461FA-CF4C-4A07-B009-D63569D9925B}"/>
    <hyperlink ref="C30" r:id="rId28" display="https://studyhall.pmi.org/app/pmi-study-hall-plus-2" xr:uid="{6DE83A56-4708-4BAD-BAA1-069E48A13647}"/>
    <hyperlink ref="C31" r:id="rId29" display="https://studyhall.pmi.org/app/pmi-study-hall-plus-2" xr:uid="{A9EBF9B5-D5EB-4854-9269-71FA8BD05B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6B9A-E7BA-487C-88C4-3E4B79B01BF8}">
  <sheetPr>
    <outlinePr summaryBelow="0" summaryRight="0"/>
  </sheetPr>
  <dimension ref="A1:L176"/>
  <sheetViews>
    <sheetView tabSelected="1" workbookViewId="0">
      <selection activeCell="C23" sqref="C23"/>
    </sheetView>
  </sheetViews>
  <sheetFormatPr defaultColWidth="12.54296875" defaultRowHeight="15.75" customHeight="1" x14ac:dyDescent="0.25"/>
  <cols>
    <col min="1" max="1" width="3.81640625" bestFit="1" customWidth="1"/>
    <col min="2" max="2" width="43.81640625" customWidth="1"/>
    <col min="3" max="3" width="52.26953125" style="53" customWidth="1"/>
    <col min="4" max="4" width="6.81640625" bestFit="1" customWidth="1"/>
    <col min="5" max="5" width="35.26953125" style="53" customWidth="1"/>
    <col min="6" max="6" width="17.81640625" bestFit="1" customWidth="1"/>
    <col min="10" max="10" width="12.54296875" style="8"/>
  </cols>
  <sheetData>
    <row r="1" spans="1:12" ht="15.75" customHeight="1" x14ac:dyDescent="0.25">
      <c r="A1" t="s">
        <v>163</v>
      </c>
      <c r="B1" s="1" t="s">
        <v>0</v>
      </c>
      <c r="C1" s="47" t="s">
        <v>1</v>
      </c>
      <c r="D1" s="1" t="s">
        <v>2</v>
      </c>
      <c r="E1" s="47" t="s">
        <v>3</v>
      </c>
      <c r="F1" s="1" t="s">
        <v>179</v>
      </c>
      <c r="G1" s="1" t="s">
        <v>263</v>
      </c>
      <c r="H1" s="1" t="s">
        <v>264</v>
      </c>
      <c r="I1" s="1" t="s">
        <v>265</v>
      </c>
      <c r="J1" s="7" t="s">
        <v>280</v>
      </c>
      <c r="K1" s="5" t="s">
        <v>283</v>
      </c>
      <c r="L1" s="5" t="s">
        <v>284</v>
      </c>
    </row>
    <row r="2" spans="1:12" ht="15.75" customHeight="1" x14ac:dyDescent="0.25">
      <c r="A2">
        <v>1</v>
      </c>
      <c r="B2" s="1" t="s">
        <v>164</v>
      </c>
      <c r="C2" s="46" t="s">
        <v>165</v>
      </c>
      <c r="D2" s="1" t="s">
        <v>8</v>
      </c>
      <c r="E2" s="47" t="s">
        <v>166</v>
      </c>
      <c r="F2" s="1" t="s">
        <v>216</v>
      </c>
      <c r="I2" s="5" t="s">
        <v>277</v>
      </c>
      <c r="J2" s="8">
        <f>COUNTA($A$2:A2)/175</f>
        <v>5.7142857142857143E-3</v>
      </c>
      <c r="K2" s="4" t="s">
        <v>282</v>
      </c>
      <c r="L2" s="9">
        <v>45999</v>
      </c>
    </row>
    <row r="3" spans="1:12" ht="15.75" customHeight="1" x14ac:dyDescent="0.25">
      <c r="A3">
        <v>2</v>
      </c>
      <c r="B3" s="1" t="s">
        <v>167</v>
      </c>
      <c r="C3" s="46" t="s">
        <v>168</v>
      </c>
      <c r="D3" s="1" t="s">
        <v>8</v>
      </c>
      <c r="E3" s="47" t="s">
        <v>169</v>
      </c>
      <c r="F3" s="1" t="s">
        <v>216</v>
      </c>
      <c r="I3" s="5" t="s">
        <v>277</v>
      </c>
      <c r="J3" s="8">
        <f>COUNTA($A$2:A3)/175</f>
        <v>1.1428571428571429E-2</v>
      </c>
    </row>
    <row r="4" spans="1:12" ht="15.75" customHeight="1" x14ac:dyDescent="0.25">
      <c r="A4">
        <v>3</v>
      </c>
      <c r="B4" s="1" t="s">
        <v>170</v>
      </c>
      <c r="C4" s="46" t="s">
        <v>171</v>
      </c>
      <c r="D4" s="1" t="s">
        <v>8</v>
      </c>
      <c r="E4" s="47" t="s">
        <v>172</v>
      </c>
      <c r="F4" s="1" t="s">
        <v>216</v>
      </c>
      <c r="I4" s="5" t="s">
        <v>277</v>
      </c>
      <c r="J4" s="8">
        <f>COUNTA($A$2:A4)/175</f>
        <v>1.7142857142857144E-2</v>
      </c>
    </row>
    <row r="5" spans="1:12" ht="15.75" customHeight="1" x14ac:dyDescent="0.25">
      <c r="A5">
        <v>4</v>
      </c>
      <c r="B5" s="1" t="s">
        <v>173</v>
      </c>
      <c r="C5" s="46" t="s">
        <v>174</v>
      </c>
      <c r="D5" s="1" t="s">
        <v>8</v>
      </c>
      <c r="E5" s="47" t="s">
        <v>175</v>
      </c>
      <c r="F5" s="1" t="s">
        <v>216</v>
      </c>
      <c r="I5" s="5" t="s">
        <v>277</v>
      </c>
      <c r="J5" s="8">
        <f>COUNTA($A$2:A5)/175</f>
        <v>2.2857142857142857E-2</v>
      </c>
    </row>
    <row r="6" spans="1:12" ht="15.75" customHeight="1" x14ac:dyDescent="0.25">
      <c r="A6">
        <v>5</v>
      </c>
      <c r="B6" s="1" t="s">
        <v>176</v>
      </c>
      <c r="C6" s="46" t="s">
        <v>177</v>
      </c>
      <c r="D6" s="1" t="s">
        <v>11</v>
      </c>
      <c r="E6" s="53" t="s">
        <v>178</v>
      </c>
      <c r="F6" s="1" t="s">
        <v>214</v>
      </c>
      <c r="I6" s="5" t="s">
        <v>277</v>
      </c>
      <c r="J6" s="8">
        <f>COUNTA($A$2:A6)/175</f>
        <v>2.8571428571428571E-2</v>
      </c>
    </row>
    <row r="7" spans="1:12" ht="15.75" customHeight="1" x14ac:dyDescent="0.25">
      <c r="A7">
        <v>6</v>
      </c>
      <c r="B7" s="1" t="s">
        <v>180</v>
      </c>
      <c r="C7" s="46" t="s">
        <v>181</v>
      </c>
      <c r="D7" s="1" t="s">
        <v>11</v>
      </c>
      <c r="E7" s="47" t="s">
        <v>182</v>
      </c>
      <c r="F7" s="1" t="s">
        <v>215</v>
      </c>
      <c r="I7" s="5" t="s">
        <v>277</v>
      </c>
      <c r="J7" s="8">
        <f>COUNTA($A$2:A7)/175</f>
        <v>3.4285714285714287E-2</v>
      </c>
    </row>
    <row r="8" spans="1:12" ht="15.75" customHeight="1" x14ac:dyDescent="0.25">
      <c r="A8">
        <v>7</v>
      </c>
      <c r="B8" s="1" t="s">
        <v>183</v>
      </c>
      <c r="C8" s="46" t="s">
        <v>184</v>
      </c>
      <c r="D8" s="1" t="s">
        <v>8</v>
      </c>
      <c r="E8" s="47" t="s">
        <v>185</v>
      </c>
      <c r="F8" s="1" t="s">
        <v>217</v>
      </c>
      <c r="I8" s="5" t="s">
        <v>277</v>
      </c>
      <c r="J8" s="8">
        <f>COUNTA($A$2:A8)/175</f>
        <v>0.04</v>
      </c>
    </row>
    <row r="9" spans="1:12" ht="15.75" customHeight="1" x14ac:dyDescent="0.25">
      <c r="A9">
        <v>8</v>
      </c>
      <c r="B9" s="1" t="s">
        <v>186</v>
      </c>
      <c r="C9" s="46" t="s">
        <v>187</v>
      </c>
      <c r="D9" s="1" t="s">
        <v>5</v>
      </c>
      <c r="E9" s="47" t="s">
        <v>188</v>
      </c>
      <c r="F9" s="1" t="s">
        <v>215</v>
      </c>
      <c r="I9" s="5" t="s">
        <v>277</v>
      </c>
      <c r="J9" s="8">
        <f>COUNTA($A$2:A9)/175</f>
        <v>4.5714285714285714E-2</v>
      </c>
    </row>
    <row r="10" spans="1:12" ht="15.75" customHeight="1" x14ac:dyDescent="0.25">
      <c r="A10">
        <v>9</v>
      </c>
      <c r="B10" s="1" t="s">
        <v>190</v>
      </c>
      <c r="C10" s="46" t="s">
        <v>189</v>
      </c>
      <c r="D10" s="1" t="s">
        <v>8</v>
      </c>
      <c r="E10" s="47" t="s">
        <v>191</v>
      </c>
      <c r="F10" s="1" t="s">
        <v>214</v>
      </c>
      <c r="I10" s="5" t="s">
        <v>277</v>
      </c>
      <c r="J10" s="8">
        <f>COUNTA($A$2:A10)/175</f>
        <v>5.1428571428571428E-2</v>
      </c>
    </row>
    <row r="11" spans="1:12" ht="15.75" customHeight="1" x14ac:dyDescent="0.25">
      <c r="A11">
        <v>10</v>
      </c>
      <c r="B11" s="1" t="s">
        <v>192</v>
      </c>
      <c r="C11" s="46" t="s">
        <v>193</v>
      </c>
      <c r="D11" s="1" t="s">
        <v>5</v>
      </c>
      <c r="E11" s="47" t="s">
        <v>194</v>
      </c>
      <c r="F11" s="1" t="s">
        <v>214</v>
      </c>
      <c r="I11" s="5" t="s">
        <v>277</v>
      </c>
      <c r="J11" s="8">
        <f>COUNTA($A$2:A11)/175</f>
        <v>5.7142857142857141E-2</v>
      </c>
    </row>
    <row r="12" spans="1:12" ht="15.75" customHeight="1" x14ac:dyDescent="0.25">
      <c r="A12">
        <v>11</v>
      </c>
      <c r="B12" s="1" t="s">
        <v>195</v>
      </c>
      <c r="C12" s="46" t="s">
        <v>196</v>
      </c>
      <c r="D12" s="1" t="s">
        <v>8</v>
      </c>
      <c r="E12" s="47" t="s">
        <v>197</v>
      </c>
      <c r="F12" s="1" t="s">
        <v>215</v>
      </c>
      <c r="I12" s="5" t="s">
        <v>277</v>
      </c>
      <c r="J12" s="8">
        <f>COUNTA($A$2:A12)/175</f>
        <v>6.2857142857142861E-2</v>
      </c>
    </row>
    <row r="13" spans="1:12" ht="15.75" customHeight="1" x14ac:dyDescent="0.25">
      <c r="A13">
        <v>12</v>
      </c>
      <c r="B13" s="1" t="s">
        <v>198</v>
      </c>
      <c r="C13" s="46" t="s">
        <v>199</v>
      </c>
      <c r="D13" s="1" t="s">
        <v>8</v>
      </c>
      <c r="E13" s="47" t="s">
        <v>200</v>
      </c>
      <c r="F13" s="1" t="s">
        <v>214</v>
      </c>
      <c r="G13" s="5" t="s">
        <v>289</v>
      </c>
      <c r="H13" s="1" t="s">
        <v>201</v>
      </c>
      <c r="I13" s="5" t="s">
        <v>277</v>
      </c>
      <c r="J13" s="8">
        <f>COUNTA($A$2:A13)/175</f>
        <v>6.8571428571428575E-2</v>
      </c>
    </row>
    <row r="14" spans="1:12" ht="15.75" customHeight="1" x14ac:dyDescent="0.25">
      <c r="A14">
        <v>13</v>
      </c>
      <c r="B14" s="1" t="s">
        <v>202</v>
      </c>
      <c r="C14" s="46" t="s">
        <v>203</v>
      </c>
      <c r="D14" s="1" t="s">
        <v>5</v>
      </c>
      <c r="E14" s="47" t="s">
        <v>204</v>
      </c>
      <c r="F14" s="1" t="s">
        <v>217</v>
      </c>
      <c r="G14" s="5" t="s">
        <v>289</v>
      </c>
      <c r="I14" s="5" t="s">
        <v>277</v>
      </c>
      <c r="J14" s="8">
        <f>COUNTA($A$2:A14)/175</f>
        <v>7.4285714285714288E-2</v>
      </c>
    </row>
    <row r="15" spans="1:12" ht="15.75" customHeight="1" x14ac:dyDescent="0.25">
      <c r="A15">
        <v>14</v>
      </c>
      <c r="B15" s="1" t="s">
        <v>205</v>
      </c>
      <c r="C15" s="46" t="s">
        <v>206</v>
      </c>
      <c r="D15" s="1" t="s">
        <v>8</v>
      </c>
      <c r="E15" s="47" t="s">
        <v>207</v>
      </c>
      <c r="F15" s="1" t="s">
        <v>217</v>
      </c>
      <c r="I15" s="5" t="s">
        <v>277</v>
      </c>
      <c r="J15" s="8">
        <f>COUNTA($A$2:A15)/175</f>
        <v>0.08</v>
      </c>
    </row>
    <row r="16" spans="1:12" ht="15.75" customHeight="1" x14ac:dyDescent="0.25">
      <c r="A16">
        <v>15</v>
      </c>
      <c r="B16" s="1" t="s">
        <v>208</v>
      </c>
      <c r="C16" s="46" t="s">
        <v>209</v>
      </c>
      <c r="D16" s="1" t="s">
        <v>5</v>
      </c>
      <c r="E16" s="47" t="s">
        <v>210</v>
      </c>
      <c r="F16" s="1" t="s">
        <v>217</v>
      </c>
      <c r="I16" s="5" t="s">
        <v>277</v>
      </c>
      <c r="J16" s="8">
        <f>COUNTA($A$2:A16)/175</f>
        <v>8.5714285714285715E-2</v>
      </c>
    </row>
    <row r="17" spans="1:10" ht="15.75" customHeight="1" x14ac:dyDescent="0.25">
      <c r="A17">
        <v>16</v>
      </c>
      <c r="B17" s="1" t="s">
        <v>211</v>
      </c>
      <c r="C17" s="46" t="s">
        <v>212</v>
      </c>
      <c r="D17" s="1" t="s">
        <v>8</v>
      </c>
      <c r="E17" s="47" t="s">
        <v>213</v>
      </c>
      <c r="F17" s="1" t="s">
        <v>214</v>
      </c>
      <c r="I17" s="5" t="s">
        <v>277</v>
      </c>
      <c r="J17" s="8">
        <f>COUNTA($A$2:A17)/175</f>
        <v>9.1428571428571428E-2</v>
      </c>
    </row>
    <row r="18" spans="1:10" ht="15.75" customHeight="1" x14ac:dyDescent="0.25">
      <c r="A18">
        <v>17</v>
      </c>
      <c r="B18" s="1" t="s">
        <v>218</v>
      </c>
      <c r="C18" s="46" t="s">
        <v>219</v>
      </c>
      <c r="D18" s="1" t="s">
        <v>8</v>
      </c>
      <c r="E18" s="47" t="s">
        <v>220</v>
      </c>
      <c r="F18" s="1" t="s">
        <v>217</v>
      </c>
      <c r="I18" s="5" t="s">
        <v>277</v>
      </c>
      <c r="J18" s="8">
        <f>COUNTA($A$2:A18)/175</f>
        <v>9.7142857142857142E-2</v>
      </c>
    </row>
    <row r="19" spans="1:10" ht="15.75" customHeight="1" x14ac:dyDescent="0.25">
      <c r="A19">
        <v>18</v>
      </c>
      <c r="B19" s="1" t="s">
        <v>221</v>
      </c>
      <c r="C19" s="46" t="s">
        <v>222</v>
      </c>
      <c r="D19" s="1" t="s">
        <v>5</v>
      </c>
      <c r="E19" s="47" t="s">
        <v>223</v>
      </c>
      <c r="F19" s="1" t="s">
        <v>217</v>
      </c>
      <c r="I19" s="5" t="s">
        <v>277</v>
      </c>
      <c r="J19" s="8">
        <f>COUNTA($A$2:A19)/175</f>
        <v>0.10285714285714286</v>
      </c>
    </row>
    <row r="20" spans="1:10" ht="15.75" customHeight="1" x14ac:dyDescent="0.25">
      <c r="A20">
        <v>19</v>
      </c>
      <c r="B20" s="1" t="s">
        <v>224</v>
      </c>
      <c r="C20" s="46" t="s">
        <v>225</v>
      </c>
      <c r="D20" s="1" t="s">
        <v>8</v>
      </c>
      <c r="E20" s="47" t="s">
        <v>226</v>
      </c>
      <c r="F20" s="1" t="s">
        <v>217</v>
      </c>
      <c r="I20" s="5" t="s">
        <v>277</v>
      </c>
      <c r="J20" s="8">
        <f>COUNTA($A$2:A20)/175</f>
        <v>0.10857142857142857</v>
      </c>
    </row>
    <row r="21" spans="1:10" ht="15.75" customHeight="1" x14ac:dyDescent="0.25">
      <c r="A21">
        <v>20</v>
      </c>
      <c r="B21" s="1" t="s">
        <v>227</v>
      </c>
      <c r="C21" s="46" t="s">
        <v>228</v>
      </c>
      <c r="D21" s="1" t="s">
        <v>5</v>
      </c>
      <c r="E21" s="47" t="s">
        <v>229</v>
      </c>
      <c r="F21" s="1" t="s">
        <v>217</v>
      </c>
      <c r="I21" s="5" t="s">
        <v>277</v>
      </c>
      <c r="J21" s="8">
        <f>COUNTA($A$2:A21)/175</f>
        <v>0.11428571428571428</v>
      </c>
    </row>
    <row r="22" spans="1:10" ht="15.75" customHeight="1" x14ac:dyDescent="0.25">
      <c r="A22">
        <v>21</v>
      </c>
      <c r="B22" s="1" t="s">
        <v>230</v>
      </c>
      <c r="C22" s="46" t="s">
        <v>231</v>
      </c>
      <c r="D22" s="1" t="s">
        <v>8</v>
      </c>
      <c r="E22" s="47" t="s">
        <v>232</v>
      </c>
      <c r="F22" s="1" t="s">
        <v>215</v>
      </c>
      <c r="I22" s="5" t="s">
        <v>277</v>
      </c>
      <c r="J22" s="8">
        <f>COUNTA($A$2:A22)/175</f>
        <v>0.12</v>
      </c>
    </row>
    <row r="23" spans="1:10" ht="15.75" customHeight="1" x14ac:dyDescent="0.25">
      <c r="A23">
        <v>22</v>
      </c>
      <c r="B23" s="1" t="s">
        <v>233</v>
      </c>
      <c r="C23" s="46" t="s">
        <v>234</v>
      </c>
      <c r="D23" s="1" t="s">
        <v>8</v>
      </c>
      <c r="E23" s="47" t="s">
        <v>235</v>
      </c>
      <c r="F23" s="1" t="s">
        <v>217</v>
      </c>
      <c r="I23" s="5" t="s">
        <v>277</v>
      </c>
      <c r="J23" s="8">
        <f>COUNTA($A$2:A23)/175</f>
        <v>0.12571428571428572</v>
      </c>
    </row>
    <row r="24" spans="1:10" ht="15.75" customHeight="1" x14ac:dyDescent="0.25">
      <c r="A24">
        <v>23</v>
      </c>
      <c r="B24" s="1" t="s">
        <v>236</v>
      </c>
      <c r="C24" s="46" t="s">
        <v>237</v>
      </c>
      <c r="D24" s="1" t="s">
        <v>5</v>
      </c>
      <c r="E24" s="47" t="s">
        <v>238</v>
      </c>
      <c r="F24" s="1" t="s">
        <v>214</v>
      </c>
      <c r="I24" s="5" t="s">
        <v>277</v>
      </c>
      <c r="J24" s="8">
        <f>COUNTA($A$2:A24)/175</f>
        <v>0.13142857142857142</v>
      </c>
    </row>
    <row r="25" spans="1:10" ht="15.75" customHeight="1" x14ac:dyDescent="0.25">
      <c r="A25">
        <v>24</v>
      </c>
      <c r="B25" s="1" t="s">
        <v>239</v>
      </c>
      <c r="C25" s="46" t="s">
        <v>240</v>
      </c>
      <c r="D25" s="1" t="s">
        <v>5</v>
      </c>
      <c r="E25" s="53" t="s">
        <v>241</v>
      </c>
      <c r="F25">
        <v>3</v>
      </c>
      <c r="I25" s="5" t="s">
        <v>277</v>
      </c>
      <c r="J25" s="8">
        <f>COUNTA($A$2:A25)/175</f>
        <v>0.13714285714285715</v>
      </c>
    </row>
    <row r="26" spans="1:10" ht="15.75" customHeight="1" x14ac:dyDescent="0.25">
      <c r="A26">
        <v>25</v>
      </c>
      <c r="B26" s="1" t="s">
        <v>242</v>
      </c>
      <c r="C26" s="46" t="s">
        <v>243</v>
      </c>
      <c r="D26" s="1" t="s">
        <v>8</v>
      </c>
      <c r="E26" s="47" t="s">
        <v>244</v>
      </c>
      <c r="F26">
        <v>2</v>
      </c>
      <c r="I26" s="5" t="s">
        <v>277</v>
      </c>
      <c r="J26" s="8">
        <f>COUNTA($A$2:A26)/175</f>
        <v>0.14285714285714285</v>
      </c>
    </row>
    <row r="27" spans="1:10" ht="15.75" customHeight="1" x14ac:dyDescent="0.25">
      <c r="A27">
        <v>26</v>
      </c>
      <c r="B27" s="1" t="s">
        <v>245</v>
      </c>
      <c r="C27" s="46" t="s">
        <v>246</v>
      </c>
      <c r="D27" s="1" t="s">
        <v>8</v>
      </c>
      <c r="E27" s="47" t="s">
        <v>247</v>
      </c>
      <c r="F27">
        <v>4</v>
      </c>
      <c r="G27" s="4" t="s">
        <v>289</v>
      </c>
      <c r="I27" s="5" t="s">
        <v>277</v>
      </c>
      <c r="J27" s="8">
        <f>COUNTA($A$2:A27)/175</f>
        <v>0.14857142857142858</v>
      </c>
    </row>
    <row r="28" spans="1:10" ht="15.75" customHeight="1" x14ac:dyDescent="0.25">
      <c r="A28">
        <v>27</v>
      </c>
      <c r="B28" s="1" t="s">
        <v>248</v>
      </c>
      <c r="C28" s="54" t="s">
        <v>249</v>
      </c>
      <c r="D28" s="1" t="s">
        <v>5</v>
      </c>
      <c r="E28" s="47" t="s">
        <v>250</v>
      </c>
      <c r="F28">
        <v>2</v>
      </c>
      <c r="I28" s="5" t="s">
        <v>277</v>
      </c>
      <c r="J28" s="8">
        <f>COUNTA($A$2:A28)/175</f>
        <v>0.15428571428571428</v>
      </c>
    </row>
    <row r="29" spans="1:10" ht="15.75" customHeight="1" x14ac:dyDescent="0.25">
      <c r="A29">
        <v>28</v>
      </c>
      <c r="B29" s="1" t="s">
        <v>251</v>
      </c>
      <c r="C29" s="54" t="s">
        <v>252</v>
      </c>
      <c r="D29" s="1" t="s">
        <v>5</v>
      </c>
      <c r="E29" s="47" t="s">
        <v>253</v>
      </c>
      <c r="F29">
        <v>4</v>
      </c>
      <c r="I29" s="5" t="s">
        <v>277</v>
      </c>
      <c r="J29" s="8">
        <f>COUNTA($A$2:A29)/175</f>
        <v>0.16</v>
      </c>
    </row>
    <row r="30" spans="1:10" ht="15.75" customHeight="1" x14ac:dyDescent="0.25">
      <c r="A30">
        <v>29</v>
      </c>
      <c r="B30" s="1" t="s">
        <v>254</v>
      </c>
      <c r="C30" s="54" t="s">
        <v>255</v>
      </c>
      <c r="D30" s="1" t="s">
        <v>8</v>
      </c>
      <c r="E30" s="47" t="s">
        <v>256</v>
      </c>
      <c r="F30">
        <v>2</v>
      </c>
      <c r="I30" s="5" t="s">
        <v>277</v>
      </c>
      <c r="J30" s="8">
        <f>COUNTA($A$2:A30)/175</f>
        <v>0.1657142857142857</v>
      </c>
    </row>
    <row r="31" spans="1:10" ht="15.75" customHeight="1" x14ac:dyDescent="0.25">
      <c r="A31">
        <v>30</v>
      </c>
      <c r="B31" s="1" t="s">
        <v>257</v>
      </c>
      <c r="C31" s="54" t="s">
        <v>258</v>
      </c>
      <c r="D31" s="1" t="s">
        <v>8</v>
      </c>
      <c r="E31" s="47" t="s">
        <v>259</v>
      </c>
      <c r="F31">
        <v>2</v>
      </c>
      <c r="I31" s="5" t="s">
        <v>277</v>
      </c>
      <c r="J31" s="8">
        <f>COUNTA($A$2:A31)/175</f>
        <v>0.17142857142857143</v>
      </c>
    </row>
    <row r="32" spans="1:10" ht="15.75" customHeight="1" x14ac:dyDescent="0.25">
      <c r="A32">
        <v>31</v>
      </c>
      <c r="B32" s="1" t="s">
        <v>260</v>
      </c>
      <c r="C32" s="54" t="s">
        <v>261</v>
      </c>
      <c r="D32" s="1" t="s">
        <v>8</v>
      </c>
      <c r="E32" s="47" t="s">
        <v>262</v>
      </c>
      <c r="F32">
        <v>4</v>
      </c>
      <c r="I32" s="5" t="s">
        <v>277</v>
      </c>
      <c r="J32" s="8">
        <f>COUNTA($A$2:A32)/175</f>
        <v>0.17714285714285713</v>
      </c>
    </row>
    <row r="33" spans="1:12" ht="15.75" customHeight="1" x14ac:dyDescent="0.25">
      <c r="A33">
        <v>32</v>
      </c>
      <c r="B33" s="1" t="s">
        <v>266</v>
      </c>
      <c r="C33" s="54" t="s">
        <v>267</v>
      </c>
      <c r="D33" s="1" t="s">
        <v>5</v>
      </c>
      <c r="E33" s="53" t="s">
        <v>268</v>
      </c>
      <c r="F33">
        <v>4</v>
      </c>
      <c r="I33" s="5" t="s">
        <v>277</v>
      </c>
      <c r="J33" s="8">
        <f>COUNTA($A$2:A33)/175</f>
        <v>0.18285714285714286</v>
      </c>
    </row>
    <row r="34" spans="1:12" ht="15.75" customHeight="1" x14ac:dyDescent="0.25">
      <c r="A34">
        <v>33</v>
      </c>
      <c r="B34" s="1" t="s">
        <v>269</v>
      </c>
      <c r="C34" s="54" t="s">
        <v>270</v>
      </c>
      <c r="D34" s="1" t="s">
        <v>5</v>
      </c>
      <c r="E34" s="47" t="s">
        <v>271</v>
      </c>
      <c r="F34">
        <v>2</v>
      </c>
      <c r="I34" s="5" t="s">
        <v>277</v>
      </c>
      <c r="J34" s="8">
        <f>COUNTA($A$2:A34)/175</f>
        <v>0.18857142857142858</v>
      </c>
    </row>
    <row r="35" spans="1:12" ht="15.75" customHeight="1" x14ac:dyDescent="0.25">
      <c r="A35">
        <v>34</v>
      </c>
      <c r="B35" s="1" t="s">
        <v>272</v>
      </c>
      <c r="C35" s="54"/>
      <c r="D35" s="5" t="s">
        <v>5</v>
      </c>
      <c r="E35" s="56" t="s">
        <v>273</v>
      </c>
      <c r="F35">
        <v>4</v>
      </c>
      <c r="I35" s="5" t="s">
        <v>277</v>
      </c>
      <c r="J35" s="8">
        <f>COUNTA($A$2:A35)/175</f>
        <v>0.19428571428571428</v>
      </c>
    </row>
    <row r="36" spans="1:12" ht="15.75" customHeight="1" x14ac:dyDescent="0.3">
      <c r="A36">
        <v>35</v>
      </c>
      <c r="B36" s="5" t="s">
        <v>274</v>
      </c>
      <c r="C36" s="55" t="s">
        <v>275</v>
      </c>
      <c r="D36" s="5" t="s">
        <v>8</v>
      </c>
      <c r="E36" s="56" t="s">
        <v>276</v>
      </c>
      <c r="F36">
        <v>2</v>
      </c>
      <c r="I36" s="5" t="s">
        <v>277</v>
      </c>
      <c r="J36" s="10">
        <f>COUNTA($A$2:A36)/175</f>
        <v>0.2</v>
      </c>
    </row>
    <row r="37" spans="1:12" ht="15.75" customHeight="1" x14ac:dyDescent="0.25">
      <c r="A37">
        <v>36</v>
      </c>
      <c r="B37" s="1" t="s">
        <v>278</v>
      </c>
      <c r="C37" s="54" t="s">
        <v>279</v>
      </c>
      <c r="D37" s="5" t="s">
        <v>5</v>
      </c>
      <c r="E37" s="56" t="s">
        <v>285</v>
      </c>
      <c r="F37">
        <v>2</v>
      </c>
      <c r="I37" s="5" t="s">
        <v>277</v>
      </c>
      <c r="J37" s="8">
        <f>COUNTA($A$2:A37)/175</f>
        <v>0.20571428571428571</v>
      </c>
      <c r="K37" s="4" t="s">
        <v>281</v>
      </c>
    </row>
    <row r="38" spans="1:12" ht="15.75" customHeight="1" x14ac:dyDescent="0.25">
      <c r="A38">
        <v>37</v>
      </c>
      <c r="B38" s="3" t="s">
        <v>286</v>
      </c>
      <c r="C38" s="55" t="s">
        <v>287</v>
      </c>
      <c r="D38" s="5" t="s">
        <v>8</v>
      </c>
      <c r="E38" s="55" t="s">
        <v>288</v>
      </c>
      <c r="F38">
        <v>2</v>
      </c>
      <c r="G38" s="4" t="s">
        <v>289</v>
      </c>
      <c r="I38" s="5" t="s">
        <v>277</v>
      </c>
      <c r="J38" s="8">
        <f>COUNTA($A$2:A38)/175</f>
        <v>0.21142857142857144</v>
      </c>
    </row>
    <row r="39" spans="1:12" ht="15.75" customHeight="1" x14ac:dyDescent="0.25">
      <c r="A39">
        <v>38</v>
      </c>
      <c r="B39" s="5" t="s">
        <v>291</v>
      </c>
      <c r="C39" s="55" t="s">
        <v>292</v>
      </c>
      <c r="D39" s="5" t="s">
        <v>5</v>
      </c>
      <c r="E39" s="56" t="s">
        <v>290</v>
      </c>
      <c r="F39">
        <v>4</v>
      </c>
      <c r="G39" s="4" t="s">
        <v>289</v>
      </c>
      <c r="I39" s="5" t="s">
        <v>277</v>
      </c>
      <c r="J39" s="8">
        <f>COUNTA($A$2:A39)/175</f>
        <v>0.21714285714285714</v>
      </c>
    </row>
    <row r="40" spans="1:12" ht="15.75" customHeight="1" x14ac:dyDescent="0.25">
      <c r="A40">
        <v>39</v>
      </c>
      <c r="B40" s="5" t="s">
        <v>293</v>
      </c>
      <c r="C40" s="55" t="s">
        <v>294</v>
      </c>
      <c r="D40" s="5" t="s">
        <v>5</v>
      </c>
      <c r="E40" s="56" t="s">
        <v>295</v>
      </c>
      <c r="F40">
        <v>4</v>
      </c>
      <c r="I40" s="5" t="s">
        <v>277</v>
      </c>
      <c r="J40" s="8">
        <f>COUNTA($A$2:A40)/175</f>
        <v>0.22285714285714286</v>
      </c>
    </row>
    <row r="41" spans="1:12" ht="15.75" customHeight="1" x14ac:dyDescent="0.25">
      <c r="A41">
        <v>40</v>
      </c>
      <c r="B41" s="5" t="s">
        <v>296</v>
      </c>
      <c r="C41" s="55" t="s">
        <v>297</v>
      </c>
      <c r="D41" s="5" t="s">
        <v>8</v>
      </c>
      <c r="E41" s="56" t="s">
        <v>298</v>
      </c>
      <c r="F41">
        <v>2</v>
      </c>
      <c r="I41" s="5" t="s">
        <v>277</v>
      </c>
      <c r="J41" s="8">
        <f>COUNTA($A$2:A41)/175</f>
        <v>0.22857142857142856</v>
      </c>
    </row>
    <row r="42" spans="1:12" ht="15.75" customHeight="1" x14ac:dyDescent="0.25">
      <c r="A42">
        <v>41</v>
      </c>
      <c r="B42" s="5" t="s">
        <v>299</v>
      </c>
      <c r="C42" s="55" t="s">
        <v>300</v>
      </c>
      <c r="D42" s="5" t="s">
        <v>5</v>
      </c>
      <c r="E42" s="56" t="s">
        <v>301</v>
      </c>
      <c r="F42">
        <v>2</v>
      </c>
      <c r="I42" s="5" t="s">
        <v>277</v>
      </c>
      <c r="J42" s="8">
        <f>COUNTA($A$2:A42)/175</f>
        <v>0.23428571428571429</v>
      </c>
    </row>
    <row r="43" spans="1:12" ht="15.75" customHeight="1" x14ac:dyDescent="0.25">
      <c r="A43">
        <v>42</v>
      </c>
      <c r="B43" s="1" t="s">
        <v>302</v>
      </c>
      <c r="C43" s="54" t="s">
        <v>303</v>
      </c>
      <c r="D43" s="1" t="s">
        <v>5</v>
      </c>
      <c r="E43" s="56" t="s">
        <v>304</v>
      </c>
      <c r="F43">
        <v>3</v>
      </c>
      <c r="I43" s="5" t="s">
        <v>277</v>
      </c>
      <c r="J43" s="8">
        <f>COUNTA($A$2:A43)/175</f>
        <v>0.24</v>
      </c>
      <c r="K43" t="s">
        <v>305</v>
      </c>
      <c r="L43" s="9">
        <v>46000</v>
      </c>
    </row>
    <row r="44" spans="1:12" ht="15.75" customHeight="1" x14ac:dyDescent="0.25">
      <c r="A44">
        <v>43</v>
      </c>
      <c r="B44" s="1" t="s">
        <v>306</v>
      </c>
      <c r="C44" s="54" t="s">
        <v>307</v>
      </c>
      <c r="D44" s="1" t="s">
        <v>8</v>
      </c>
      <c r="E44" s="56" t="s">
        <v>308</v>
      </c>
      <c r="F44">
        <v>2</v>
      </c>
      <c r="I44" s="5" t="s">
        <v>277</v>
      </c>
      <c r="J44" s="8">
        <f>COUNTA($A$2:A44)/175</f>
        <v>0.24571428571428572</v>
      </c>
    </row>
    <row r="45" spans="1:12" ht="15.75" customHeight="1" x14ac:dyDescent="0.25">
      <c r="A45">
        <v>44</v>
      </c>
      <c r="B45" s="1" t="s">
        <v>309</v>
      </c>
      <c r="C45" s="54" t="s">
        <v>310</v>
      </c>
      <c r="D45" s="1" t="s">
        <v>5</v>
      </c>
      <c r="E45" s="56" t="s">
        <v>311</v>
      </c>
      <c r="F45">
        <v>2</v>
      </c>
      <c r="I45" s="5" t="s">
        <v>277</v>
      </c>
      <c r="J45" s="8">
        <f>COUNTA($A$2:A45)/175</f>
        <v>0.25142857142857145</v>
      </c>
    </row>
    <row r="46" spans="1:12" ht="15.75" customHeight="1" x14ac:dyDescent="0.25">
      <c r="A46">
        <v>45</v>
      </c>
      <c r="B46" s="5" t="s">
        <v>312</v>
      </c>
      <c r="C46" s="54"/>
      <c r="D46" s="5" t="s">
        <v>8</v>
      </c>
      <c r="E46" s="56" t="s">
        <v>313</v>
      </c>
      <c r="F46" s="4">
        <v>4</v>
      </c>
      <c r="I46" s="5" t="s">
        <v>277</v>
      </c>
      <c r="J46" s="8">
        <f>COUNTA($A$2:A46)/175</f>
        <v>0.25714285714285712</v>
      </c>
    </row>
    <row r="47" spans="1:12" ht="15.75" customHeight="1" x14ac:dyDescent="0.25">
      <c r="A47">
        <v>46</v>
      </c>
      <c r="B47" s="5" t="s">
        <v>314</v>
      </c>
      <c r="C47" s="54" t="s">
        <v>315</v>
      </c>
      <c r="D47" s="5" t="s">
        <v>8</v>
      </c>
      <c r="E47" s="56" t="s">
        <v>316</v>
      </c>
      <c r="F47" s="4">
        <v>4</v>
      </c>
      <c r="G47" s="4"/>
      <c r="I47" s="5" t="s">
        <v>277</v>
      </c>
      <c r="J47" s="8">
        <f>COUNTA($A$2:A47)/175</f>
        <v>0.26285714285714284</v>
      </c>
    </row>
    <row r="48" spans="1:12" ht="15.75" customHeight="1" x14ac:dyDescent="0.25">
      <c r="A48">
        <v>47</v>
      </c>
      <c r="B48" s="5" t="s">
        <v>317</v>
      </c>
      <c r="C48" s="54" t="s">
        <v>318</v>
      </c>
      <c r="D48" s="5" t="s">
        <v>5</v>
      </c>
      <c r="E48" s="55" t="s">
        <v>319</v>
      </c>
      <c r="F48" s="4">
        <v>4</v>
      </c>
      <c r="G48" t="s">
        <v>289</v>
      </c>
      <c r="H48" s="2" t="s">
        <v>320</v>
      </c>
      <c r="I48" s="5" t="s">
        <v>277</v>
      </c>
      <c r="J48" s="8">
        <f>COUNTA($A$2:A48)/175</f>
        <v>0.26857142857142857</v>
      </c>
    </row>
    <row r="49" spans="1:10" ht="15.75" customHeight="1" x14ac:dyDescent="0.25">
      <c r="A49">
        <v>48</v>
      </c>
      <c r="B49" s="5" t="s">
        <v>321</v>
      </c>
      <c r="C49" s="54" t="s">
        <v>322</v>
      </c>
      <c r="D49" s="5" t="s">
        <v>8</v>
      </c>
      <c r="E49" s="55" t="s">
        <v>323</v>
      </c>
      <c r="F49" s="4">
        <v>4</v>
      </c>
      <c r="I49" s="5" t="s">
        <v>277</v>
      </c>
      <c r="J49" s="8">
        <f>COUNTA($A$2:A49)/175</f>
        <v>0.2742857142857143</v>
      </c>
    </row>
    <row r="50" spans="1:10" ht="15.75" customHeight="1" x14ac:dyDescent="0.25">
      <c r="A50">
        <v>49</v>
      </c>
      <c r="B50" s="3" t="s">
        <v>324</v>
      </c>
      <c r="C50" s="54" t="s">
        <v>325</v>
      </c>
      <c r="D50" s="5" t="s">
        <v>5</v>
      </c>
      <c r="E50" s="55" t="s">
        <v>326</v>
      </c>
      <c r="F50" s="4">
        <v>4</v>
      </c>
      <c r="I50" s="5" t="s">
        <v>277</v>
      </c>
      <c r="J50" s="8">
        <f>COUNTA($A$2:A50)/175</f>
        <v>0.28000000000000003</v>
      </c>
    </row>
    <row r="51" spans="1:10" ht="15.75" customHeight="1" x14ac:dyDescent="0.3">
      <c r="A51">
        <v>50</v>
      </c>
      <c r="B51" t="s">
        <v>327</v>
      </c>
      <c r="C51" s="55" t="s">
        <v>328</v>
      </c>
      <c r="D51" s="5" t="s">
        <v>8</v>
      </c>
      <c r="E51" s="55" t="s">
        <v>329</v>
      </c>
      <c r="F51" s="4">
        <v>4</v>
      </c>
      <c r="I51" s="5" t="s">
        <v>277</v>
      </c>
      <c r="J51" s="8">
        <f>COUNTA($A$2:A51)/175</f>
        <v>0.2857142857142857</v>
      </c>
    </row>
    <row r="52" spans="1:10" ht="15.75" customHeight="1" x14ac:dyDescent="0.25">
      <c r="A52">
        <v>51</v>
      </c>
      <c r="B52" s="5" t="s">
        <v>330</v>
      </c>
      <c r="C52" s="54" t="s">
        <v>331</v>
      </c>
      <c r="D52" s="5" t="s">
        <v>8</v>
      </c>
      <c r="E52" s="55" t="s">
        <v>332</v>
      </c>
      <c r="F52" s="4">
        <v>4</v>
      </c>
      <c r="I52" s="5" t="s">
        <v>277</v>
      </c>
      <c r="J52" s="8">
        <f>COUNTA($A$2:A52)/175</f>
        <v>0.29142857142857143</v>
      </c>
    </row>
    <row r="53" spans="1:10" ht="15.75" customHeight="1" x14ac:dyDescent="0.25">
      <c r="A53">
        <v>52</v>
      </c>
      <c r="B53" s="5" t="s">
        <v>333</v>
      </c>
      <c r="C53" s="54" t="s">
        <v>334</v>
      </c>
      <c r="D53" s="5" t="s">
        <v>5</v>
      </c>
      <c r="E53" s="53" t="s">
        <v>335</v>
      </c>
      <c r="F53">
        <v>3</v>
      </c>
      <c r="I53" s="5" t="s">
        <v>277</v>
      </c>
      <c r="J53" s="8">
        <f>COUNTA($A$2:A53)/175</f>
        <v>0.29714285714285715</v>
      </c>
    </row>
    <row r="54" spans="1:10" ht="15.75" customHeight="1" x14ac:dyDescent="0.25">
      <c r="A54">
        <v>53</v>
      </c>
      <c r="B54" s="5" t="s">
        <v>336</v>
      </c>
      <c r="C54" s="54" t="s">
        <v>337</v>
      </c>
      <c r="D54" s="5" t="s">
        <v>5</v>
      </c>
      <c r="E54" s="55" t="s">
        <v>338</v>
      </c>
      <c r="F54">
        <v>4</v>
      </c>
      <c r="I54" s="5" t="s">
        <v>277</v>
      </c>
      <c r="J54" s="8">
        <f>COUNTA($A$2:A54)/175</f>
        <v>0.30285714285714288</v>
      </c>
    </row>
    <row r="55" spans="1:10" ht="15.75" customHeight="1" x14ac:dyDescent="0.25">
      <c r="A55">
        <v>54</v>
      </c>
      <c r="B55" s="5" t="s">
        <v>339</v>
      </c>
      <c r="C55" s="54" t="s">
        <v>340</v>
      </c>
      <c r="D55" s="5" t="s">
        <v>8</v>
      </c>
      <c r="E55" s="55" t="s">
        <v>341</v>
      </c>
      <c r="F55">
        <v>4</v>
      </c>
      <c r="I55" s="5" t="s">
        <v>277</v>
      </c>
      <c r="J55" s="8">
        <f>COUNTA($A$2:A55)/175</f>
        <v>0.30857142857142855</v>
      </c>
    </row>
    <row r="56" spans="1:10" ht="15.75" customHeight="1" x14ac:dyDescent="0.25">
      <c r="A56">
        <v>55</v>
      </c>
      <c r="B56" s="5" t="s">
        <v>342</v>
      </c>
      <c r="C56" s="54" t="s">
        <v>343</v>
      </c>
      <c r="D56" s="5" t="s">
        <v>8</v>
      </c>
      <c r="E56" s="55" t="s">
        <v>344</v>
      </c>
      <c r="F56">
        <v>4</v>
      </c>
      <c r="I56" s="5" t="s">
        <v>277</v>
      </c>
      <c r="J56" s="8">
        <f>COUNTA($A$2:A56)/175</f>
        <v>0.31428571428571428</v>
      </c>
    </row>
    <row r="57" spans="1:10" ht="15.75" customHeight="1" x14ac:dyDescent="0.25">
      <c r="A57">
        <v>56</v>
      </c>
      <c r="B57" s="11" t="s">
        <v>346</v>
      </c>
      <c r="C57" s="54" t="s">
        <v>345</v>
      </c>
      <c r="D57" s="5" t="s">
        <v>8</v>
      </c>
      <c r="E57" s="54" t="s">
        <v>347</v>
      </c>
      <c r="F57">
        <v>2</v>
      </c>
      <c r="I57" s="5" t="s">
        <v>277</v>
      </c>
      <c r="J57" s="8">
        <f>COUNTA($A$2:A57)/175</f>
        <v>0.32</v>
      </c>
    </row>
    <row r="58" spans="1:10" ht="15.75" customHeight="1" x14ac:dyDescent="0.25">
      <c r="A58">
        <v>57</v>
      </c>
      <c r="B58" s="2" t="s">
        <v>348</v>
      </c>
      <c r="C58" s="54" t="s">
        <v>349</v>
      </c>
      <c r="D58" s="5" t="s">
        <v>8</v>
      </c>
      <c r="E58" s="54" t="s">
        <v>350</v>
      </c>
      <c r="F58">
        <v>2</v>
      </c>
      <c r="I58" s="5" t="s">
        <v>277</v>
      </c>
      <c r="J58" s="8">
        <f>COUNTA($A$2:A58)/175</f>
        <v>0.32571428571428573</v>
      </c>
    </row>
    <row r="59" spans="1:10" ht="15.75" customHeight="1" x14ac:dyDescent="0.25">
      <c r="A59">
        <v>58</v>
      </c>
      <c r="B59" s="2" t="s">
        <v>351</v>
      </c>
      <c r="C59" s="54" t="s">
        <v>352</v>
      </c>
      <c r="D59" s="5" t="s">
        <v>8</v>
      </c>
      <c r="E59" s="54" t="s">
        <v>353</v>
      </c>
      <c r="F59">
        <v>2</v>
      </c>
      <c r="I59" s="5" t="s">
        <v>277</v>
      </c>
      <c r="J59" s="8">
        <f>COUNTA($A$2:A59)/175</f>
        <v>0.33142857142857141</v>
      </c>
    </row>
    <row r="60" spans="1:10" ht="15.75" customHeight="1" x14ac:dyDescent="0.25">
      <c r="A60">
        <v>59</v>
      </c>
      <c r="B60" s="2" t="s">
        <v>354</v>
      </c>
      <c r="C60" s="54" t="s">
        <v>355</v>
      </c>
      <c r="D60" s="5" t="s">
        <v>356</v>
      </c>
      <c r="E60" s="54" t="s">
        <v>357</v>
      </c>
      <c r="F60">
        <v>3</v>
      </c>
      <c r="G60" s="2"/>
      <c r="I60" s="5" t="s">
        <v>277</v>
      </c>
      <c r="J60" s="8">
        <f>COUNTA($A$2:A60)/175</f>
        <v>0.33714285714285713</v>
      </c>
    </row>
    <row r="61" spans="1:10" ht="15.75" customHeight="1" x14ac:dyDescent="0.25">
      <c r="A61">
        <v>60</v>
      </c>
      <c r="B61" s="2" t="s">
        <v>358</v>
      </c>
      <c r="C61" s="54" t="s">
        <v>359</v>
      </c>
      <c r="D61" s="5" t="s">
        <v>16</v>
      </c>
      <c r="E61" s="54" t="s">
        <v>360</v>
      </c>
      <c r="F61">
        <v>2</v>
      </c>
      <c r="I61" s="5" t="s">
        <v>277</v>
      </c>
      <c r="J61" s="8">
        <f>COUNTA($A$2:A61)/175</f>
        <v>0.34285714285714286</v>
      </c>
    </row>
    <row r="62" spans="1:10" ht="15.75" customHeight="1" x14ac:dyDescent="0.25">
      <c r="A62">
        <v>61</v>
      </c>
      <c r="B62" s="2" t="s">
        <v>361</v>
      </c>
      <c r="C62" s="54" t="s">
        <v>363</v>
      </c>
      <c r="D62" s="5" t="s">
        <v>5</v>
      </c>
      <c r="E62" s="54" t="s">
        <v>362</v>
      </c>
      <c r="F62">
        <v>2</v>
      </c>
      <c r="I62" s="5" t="s">
        <v>277</v>
      </c>
      <c r="J62" s="8">
        <f>COUNTA($A$2:A62)/175</f>
        <v>0.34857142857142859</v>
      </c>
    </row>
    <row r="63" spans="1:10" ht="15.75" customHeight="1" x14ac:dyDescent="0.25">
      <c r="A63">
        <v>62</v>
      </c>
      <c r="B63" s="2" t="s">
        <v>364</v>
      </c>
      <c r="C63" s="54" t="s">
        <v>365</v>
      </c>
      <c r="D63" s="5" t="s">
        <v>366</v>
      </c>
      <c r="E63" s="54" t="s">
        <v>367</v>
      </c>
      <c r="F63">
        <v>3</v>
      </c>
      <c r="I63" s="5" t="s">
        <v>277</v>
      </c>
      <c r="J63" s="8">
        <f>COUNTA($A$2:A63)/175</f>
        <v>0.35428571428571426</v>
      </c>
    </row>
    <row r="64" spans="1:10" ht="15.75" customHeight="1" x14ac:dyDescent="0.25">
      <c r="A64">
        <v>63</v>
      </c>
      <c r="B64" s="2" t="s">
        <v>368</v>
      </c>
      <c r="C64" s="54" t="s">
        <v>369</v>
      </c>
      <c r="D64" s="5" t="s">
        <v>11</v>
      </c>
      <c r="E64" s="54" t="s">
        <v>370</v>
      </c>
      <c r="F64">
        <v>4</v>
      </c>
      <c r="I64" s="5" t="s">
        <v>277</v>
      </c>
      <c r="J64" s="8">
        <f>COUNTA($A$2:A64)/175</f>
        <v>0.36</v>
      </c>
    </row>
    <row r="65" spans="1:10" ht="15.75" customHeight="1" x14ac:dyDescent="0.25">
      <c r="A65">
        <v>64</v>
      </c>
      <c r="B65" s="2" t="s">
        <v>371</v>
      </c>
      <c r="C65" s="54" t="s">
        <v>372</v>
      </c>
      <c r="D65" s="5" t="s">
        <v>8</v>
      </c>
      <c r="E65" s="54" t="s">
        <v>373</v>
      </c>
      <c r="F65">
        <v>3</v>
      </c>
      <c r="I65" s="5" t="s">
        <v>277</v>
      </c>
      <c r="J65" s="8">
        <f>COUNTA($A$2:A65)/175</f>
        <v>0.36571428571428571</v>
      </c>
    </row>
    <row r="66" spans="1:10" ht="15.75" customHeight="1" x14ac:dyDescent="0.25">
      <c r="A66">
        <v>65</v>
      </c>
      <c r="B66" s="2" t="s">
        <v>374</v>
      </c>
      <c r="C66" s="54" t="s">
        <v>375</v>
      </c>
      <c r="D66" s="5" t="s">
        <v>8</v>
      </c>
      <c r="E66" s="54" t="s">
        <v>376</v>
      </c>
      <c r="F66">
        <v>3</v>
      </c>
      <c r="G66" s="2" t="s">
        <v>97</v>
      </c>
      <c r="I66" s="5" t="s">
        <v>277</v>
      </c>
      <c r="J66" s="8">
        <f>COUNTA($A$2:A66)/175</f>
        <v>0.37142857142857144</v>
      </c>
    </row>
    <row r="67" spans="1:10" ht="15.75" customHeight="1" x14ac:dyDescent="0.25">
      <c r="A67">
        <v>66</v>
      </c>
      <c r="B67" s="2" t="s">
        <v>377</v>
      </c>
      <c r="C67" s="54" t="s">
        <v>378</v>
      </c>
      <c r="D67" s="5" t="s">
        <v>8</v>
      </c>
      <c r="E67" s="54" t="s">
        <v>379</v>
      </c>
      <c r="F67">
        <v>4</v>
      </c>
      <c r="I67" s="5" t="s">
        <v>277</v>
      </c>
      <c r="J67" s="8">
        <f>COUNTA($A$2:A67)/175</f>
        <v>0.37714285714285717</v>
      </c>
    </row>
    <row r="68" spans="1:10" ht="15.75" customHeight="1" x14ac:dyDescent="0.25">
      <c r="A68">
        <v>67</v>
      </c>
      <c r="B68" s="2" t="s">
        <v>380</v>
      </c>
      <c r="C68" s="54" t="s">
        <v>381</v>
      </c>
      <c r="D68" s="5" t="s">
        <v>8</v>
      </c>
      <c r="E68" s="54" t="s">
        <v>382</v>
      </c>
      <c r="F68">
        <v>3</v>
      </c>
      <c r="I68" s="5" t="s">
        <v>277</v>
      </c>
      <c r="J68" s="8">
        <f>COUNTA($A$2:A68)/175</f>
        <v>0.38285714285714284</v>
      </c>
    </row>
    <row r="69" spans="1:10" ht="15.75" customHeight="1" x14ac:dyDescent="0.25">
      <c r="A69">
        <v>68</v>
      </c>
      <c r="B69" s="2" t="s">
        <v>383</v>
      </c>
      <c r="C69" s="54" t="s">
        <v>384</v>
      </c>
      <c r="D69" s="5" t="s">
        <v>8</v>
      </c>
      <c r="E69" s="54" t="s">
        <v>385</v>
      </c>
      <c r="F69">
        <v>3</v>
      </c>
      <c r="I69" s="5" t="s">
        <v>277</v>
      </c>
      <c r="J69" s="8">
        <f>COUNTA($A$2:A69)/175</f>
        <v>0.38857142857142857</v>
      </c>
    </row>
    <row r="70" spans="1:10" ht="15.75" customHeight="1" x14ac:dyDescent="0.25">
      <c r="A70">
        <v>69</v>
      </c>
      <c r="B70" s="2" t="s">
        <v>386</v>
      </c>
      <c r="C70" s="54" t="s">
        <v>387</v>
      </c>
      <c r="D70" s="5" t="s">
        <v>5</v>
      </c>
      <c r="E70" s="54" t="s">
        <v>388</v>
      </c>
      <c r="F70">
        <v>3</v>
      </c>
      <c r="I70" s="5" t="s">
        <v>277</v>
      </c>
      <c r="J70" s="8">
        <f>COUNTA($A$2:A70)/175</f>
        <v>0.39428571428571429</v>
      </c>
    </row>
    <row r="71" spans="1:10" ht="15.75" customHeight="1" x14ac:dyDescent="0.3">
      <c r="A71">
        <v>70</v>
      </c>
      <c r="B71" s="2" t="s">
        <v>389</v>
      </c>
      <c r="C71" s="54" t="s">
        <v>390</v>
      </c>
      <c r="D71" s="5" t="s">
        <v>8</v>
      </c>
      <c r="E71" s="54" t="s">
        <v>391</v>
      </c>
      <c r="F71">
        <v>3</v>
      </c>
      <c r="I71" s="5" t="s">
        <v>277</v>
      </c>
      <c r="J71" s="10">
        <f>COUNTA($A$2:A71)/175</f>
        <v>0.4</v>
      </c>
    </row>
    <row r="72" spans="1:10" ht="15.75" customHeight="1" x14ac:dyDescent="0.25">
      <c r="A72">
        <v>71</v>
      </c>
      <c r="I72" s="5" t="s">
        <v>277</v>
      </c>
      <c r="J72" s="8">
        <f>COUNTA($A$2:A72)/175</f>
        <v>0.40571428571428569</v>
      </c>
    </row>
    <row r="73" spans="1:10" ht="15.75" customHeight="1" x14ac:dyDescent="0.25">
      <c r="A73">
        <v>72</v>
      </c>
      <c r="I73" s="5" t="s">
        <v>277</v>
      </c>
      <c r="J73" s="8">
        <f>COUNTA($A$2:A73)/175</f>
        <v>0.41142857142857142</v>
      </c>
    </row>
    <row r="74" spans="1:10" ht="15.75" customHeight="1" x14ac:dyDescent="0.25">
      <c r="A74">
        <v>73</v>
      </c>
      <c r="I74" s="5" t="s">
        <v>277</v>
      </c>
      <c r="J74" s="8">
        <f>COUNTA($A$2:A74)/175</f>
        <v>0.41714285714285715</v>
      </c>
    </row>
    <row r="75" spans="1:10" ht="15.75" customHeight="1" x14ac:dyDescent="0.25">
      <c r="A75">
        <v>74</v>
      </c>
      <c r="I75" s="5" t="s">
        <v>277</v>
      </c>
      <c r="J75" s="8">
        <f>COUNTA($A$2:A75)/175</f>
        <v>0.42285714285714288</v>
      </c>
    </row>
    <row r="76" spans="1:10" ht="15.75" customHeight="1" x14ac:dyDescent="0.25">
      <c r="A76">
        <v>75</v>
      </c>
      <c r="I76" s="5" t="s">
        <v>277</v>
      </c>
      <c r="J76" s="8">
        <f>COUNTA($A$2:A76)/175</f>
        <v>0.42857142857142855</v>
      </c>
    </row>
    <row r="77" spans="1:10" ht="15.75" customHeight="1" x14ac:dyDescent="0.25">
      <c r="A77">
        <v>76</v>
      </c>
      <c r="I77" s="5" t="s">
        <v>277</v>
      </c>
      <c r="J77" s="8">
        <f>COUNTA($A$2:A77)/175</f>
        <v>0.43428571428571427</v>
      </c>
    </row>
    <row r="78" spans="1:10" ht="15.75" customHeight="1" x14ac:dyDescent="0.25">
      <c r="A78">
        <v>77</v>
      </c>
      <c r="I78" s="5" t="s">
        <v>277</v>
      </c>
      <c r="J78" s="8">
        <f>COUNTA($A$2:A78)/175</f>
        <v>0.44</v>
      </c>
    </row>
    <row r="79" spans="1:10" ht="15.75" customHeight="1" x14ac:dyDescent="0.25">
      <c r="A79">
        <v>78</v>
      </c>
      <c r="I79" s="5" t="s">
        <v>277</v>
      </c>
      <c r="J79" s="8">
        <f>COUNTA($A$2:A79)/175</f>
        <v>0.44571428571428573</v>
      </c>
    </row>
    <row r="80" spans="1:10" ht="15.75" customHeight="1" x14ac:dyDescent="0.25">
      <c r="A80">
        <v>79</v>
      </c>
      <c r="I80" s="5" t="s">
        <v>277</v>
      </c>
      <c r="J80" s="8">
        <f>COUNTA($A$2:A80)/175</f>
        <v>0.4514285714285714</v>
      </c>
    </row>
    <row r="81" spans="1:10" ht="15.75" customHeight="1" x14ac:dyDescent="0.25">
      <c r="A81">
        <v>80</v>
      </c>
      <c r="I81" s="5" t="s">
        <v>277</v>
      </c>
      <c r="J81" s="8">
        <f>COUNTA($A$2:A81)/175</f>
        <v>0.45714285714285713</v>
      </c>
    </row>
    <row r="82" spans="1:10" ht="15.75" customHeight="1" x14ac:dyDescent="0.25">
      <c r="A82">
        <v>81</v>
      </c>
      <c r="I82" s="5" t="s">
        <v>277</v>
      </c>
      <c r="J82" s="8">
        <f>COUNTA($A$2:A82)/175</f>
        <v>0.46285714285714286</v>
      </c>
    </row>
    <row r="83" spans="1:10" ht="15.75" customHeight="1" x14ac:dyDescent="0.25">
      <c r="A83">
        <v>82</v>
      </c>
      <c r="I83" s="5" t="s">
        <v>277</v>
      </c>
      <c r="J83" s="8">
        <f>COUNTA($A$2:A83)/175</f>
        <v>0.46857142857142858</v>
      </c>
    </row>
    <row r="84" spans="1:10" ht="15.75" customHeight="1" x14ac:dyDescent="0.25">
      <c r="A84">
        <v>83</v>
      </c>
      <c r="I84" s="5" t="s">
        <v>277</v>
      </c>
      <c r="J84" s="8">
        <f>COUNTA($A$2:A84)/175</f>
        <v>0.47428571428571431</v>
      </c>
    </row>
    <row r="85" spans="1:10" ht="15.75" customHeight="1" x14ac:dyDescent="0.25">
      <c r="A85">
        <v>84</v>
      </c>
      <c r="I85" s="5" t="s">
        <v>277</v>
      </c>
      <c r="J85" s="8">
        <f>COUNTA($A$2:A85)/175</f>
        <v>0.48</v>
      </c>
    </row>
    <row r="86" spans="1:10" ht="15.75" customHeight="1" x14ac:dyDescent="0.25">
      <c r="A86">
        <v>85</v>
      </c>
      <c r="I86" s="5" t="s">
        <v>277</v>
      </c>
      <c r="J86" s="8">
        <f>COUNTA($A$2:A86)/175</f>
        <v>0.48571428571428571</v>
      </c>
    </row>
    <row r="87" spans="1:10" ht="15.75" customHeight="1" x14ac:dyDescent="0.25">
      <c r="A87">
        <v>86</v>
      </c>
      <c r="I87" s="5" t="s">
        <v>277</v>
      </c>
      <c r="J87" s="8">
        <f>COUNTA($A$2:A87)/175</f>
        <v>0.49142857142857144</v>
      </c>
    </row>
    <row r="88" spans="1:10" ht="15.75" customHeight="1" x14ac:dyDescent="0.25">
      <c r="A88">
        <v>87</v>
      </c>
      <c r="I88" s="5" t="s">
        <v>277</v>
      </c>
      <c r="J88" s="8">
        <f>COUNTA($A$2:A88)/175</f>
        <v>0.49714285714285716</v>
      </c>
    </row>
    <row r="89" spans="1:10" ht="15.75" customHeight="1" x14ac:dyDescent="0.25">
      <c r="A89">
        <v>88</v>
      </c>
      <c r="I89" s="5" t="s">
        <v>277</v>
      </c>
      <c r="J89" s="8">
        <f>COUNTA($A$2:A89)/175</f>
        <v>0.50285714285714289</v>
      </c>
    </row>
    <row r="90" spans="1:10" ht="15.75" customHeight="1" x14ac:dyDescent="0.25">
      <c r="A90">
        <v>89</v>
      </c>
      <c r="I90" s="5" t="s">
        <v>277</v>
      </c>
      <c r="J90" s="8">
        <f>COUNTA($A$2:A90)/175</f>
        <v>0.50857142857142856</v>
      </c>
    </row>
    <row r="91" spans="1:10" ht="15.75" customHeight="1" x14ac:dyDescent="0.25">
      <c r="A91">
        <v>90</v>
      </c>
      <c r="I91" s="5" t="s">
        <v>277</v>
      </c>
      <c r="J91" s="8">
        <f>COUNTA($A$2:A91)/175</f>
        <v>0.51428571428571423</v>
      </c>
    </row>
    <row r="92" spans="1:10" ht="15.75" customHeight="1" x14ac:dyDescent="0.25">
      <c r="A92">
        <v>91</v>
      </c>
      <c r="I92" s="5" t="s">
        <v>277</v>
      </c>
      <c r="J92" s="8">
        <f>COUNTA($A$2:A92)/175</f>
        <v>0.52</v>
      </c>
    </row>
    <row r="93" spans="1:10" ht="15.75" customHeight="1" x14ac:dyDescent="0.25">
      <c r="A93">
        <v>92</v>
      </c>
      <c r="I93" s="5" t="s">
        <v>277</v>
      </c>
      <c r="J93" s="8">
        <f>COUNTA($A$2:A93)/175</f>
        <v>0.52571428571428569</v>
      </c>
    </row>
    <row r="94" spans="1:10" ht="15.75" customHeight="1" x14ac:dyDescent="0.25">
      <c r="A94">
        <v>93</v>
      </c>
      <c r="I94" s="5" t="s">
        <v>277</v>
      </c>
      <c r="J94" s="8">
        <f>COUNTA($A$2:A94)/175</f>
        <v>0.53142857142857147</v>
      </c>
    </row>
    <row r="95" spans="1:10" ht="15.75" customHeight="1" x14ac:dyDescent="0.25">
      <c r="A95">
        <v>94</v>
      </c>
      <c r="I95" s="5" t="s">
        <v>277</v>
      </c>
      <c r="J95" s="8">
        <f>COUNTA($A$2:A95)/175</f>
        <v>0.53714285714285714</v>
      </c>
    </row>
    <row r="96" spans="1:10" ht="15.75" customHeight="1" x14ac:dyDescent="0.25">
      <c r="A96">
        <v>95</v>
      </c>
      <c r="I96" s="5" t="s">
        <v>277</v>
      </c>
      <c r="J96" s="8">
        <f>COUNTA($A$2:A96)/175</f>
        <v>0.54285714285714282</v>
      </c>
    </row>
    <row r="97" spans="1:10" ht="15.75" customHeight="1" x14ac:dyDescent="0.25">
      <c r="A97">
        <v>96</v>
      </c>
      <c r="I97" s="5" t="s">
        <v>277</v>
      </c>
      <c r="J97" s="8">
        <f>COUNTA($A$2:A97)/175</f>
        <v>0.5485714285714286</v>
      </c>
    </row>
    <row r="98" spans="1:10" ht="15.75" customHeight="1" x14ac:dyDescent="0.25">
      <c r="A98">
        <v>97</v>
      </c>
      <c r="I98" s="5" t="s">
        <v>277</v>
      </c>
      <c r="J98" s="8">
        <f>COUNTA($A$2:A98)/175</f>
        <v>0.55428571428571427</v>
      </c>
    </row>
    <row r="99" spans="1:10" ht="15.75" customHeight="1" x14ac:dyDescent="0.25">
      <c r="A99">
        <v>98</v>
      </c>
      <c r="I99" s="5" t="s">
        <v>277</v>
      </c>
      <c r="J99" s="8">
        <f>COUNTA($A$2:A99)/175</f>
        <v>0.56000000000000005</v>
      </c>
    </row>
    <row r="100" spans="1:10" ht="15.75" customHeight="1" x14ac:dyDescent="0.25">
      <c r="A100">
        <v>99</v>
      </c>
      <c r="I100" s="5" t="s">
        <v>277</v>
      </c>
      <c r="J100" s="8">
        <f>COUNTA($A$2:A100)/175</f>
        <v>0.56571428571428573</v>
      </c>
    </row>
    <row r="101" spans="1:10" ht="15.75" customHeight="1" x14ac:dyDescent="0.25">
      <c r="A101">
        <v>100</v>
      </c>
      <c r="I101" s="5" t="s">
        <v>277</v>
      </c>
      <c r="J101" s="8">
        <f>COUNTA($A$2:A101)/175</f>
        <v>0.5714285714285714</v>
      </c>
    </row>
    <row r="102" spans="1:10" ht="15.75" customHeight="1" x14ac:dyDescent="0.25">
      <c r="A102">
        <v>101</v>
      </c>
      <c r="I102" s="5" t="s">
        <v>277</v>
      </c>
      <c r="J102" s="8">
        <f>COUNTA($A$2:A102)/175</f>
        <v>0.57714285714285718</v>
      </c>
    </row>
    <row r="103" spans="1:10" ht="15.75" customHeight="1" x14ac:dyDescent="0.25">
      <c r="A103">
        <v>102</v>
      </c>
      <c r="I103" s="5" t="s">
        <v>277</v>
      </c>
      <c r="J103" s="8">
        <f>COUNTA($A$2:A103)/175</f>
        <v>0.58285714285714285</v>
      </c>
    </row>
    <row r="104" spans="1:10" ht="15.75" customHeight="1" x14ac:dyDescent="0.25">
      <c r="A104">
        <v>103</v>
      </c>
      <c r="I104" s="5" t="s">
        <v>277</v>
      </c>
      <c r="J104" s="8">
        <f>COUNTA($A$2:A104)/175</f>
        <v>0.58857142857142852</v>
      </c>
    </row>
    <row r="105" spans="1:10" ht="15.75" customHeight="1" x14ac:dyDescent="0.25">
      <c r="A105">
        <v>104</v>
      </c>
      <c r="I105" s="5" t="s">
        <v>277</v>
      </c>
      <c r="J105" s="8">
        <f>COUNTA($A$2:A105)/175</f>
        <v>0.59428571428571431</v>
      </c>
    </row>
    <row r="106" spans="1:10" ht="15.75" customHeight="1" x14ac:dyDescent="0.3">
      <c r="A106">
        <v>105</v>
      </c>
      <c r="I106" s="5" t="s">
        <v>277</v>
      </c>
      <c r="J106" s="10">
        <f>COUNTA($A$2:A106)/175</f>
        <v>0.6</v>
      </c>
    </row>
    <row r="107" spans="1:10" ht="15.75" customHeight="1" x14ac:dyDescent="0.25">
      <c r="A107">
        <v>106</v>
      </c>
      <c r="I107" s="5" t="s">
        <v>277</v>
      </c>
      <c r="J107" s="8">
        <f>COUNTA($A$2:A107)/175</f>
        <v>0.60571428571428576</v>
      </c>
    </row>
    <row r="108" spans="1:10" ht="15.75" customHeight="1" x14ac:dyDescent="0.25">
      <c r="A108">
        <v>107</v>
      </c>
      <c r="I108" s="5" t="s">
        <v>277</v>
      </c>
      <c r="J108" s="8">
        <f>COUNTA($A$2:A108)/175</f>
        <v>0.61142857142857143</v>
      </c>
    </row>
    <row r="109" spans="1:10" ht="15.75" customHeight="1" x14ac:dyDescent="0.25">
      <c r="A109">
        <v>108</v>
      </c>
      <c r="I109" s="5" t="s">
        <v>277</v>
      </c>
      <c r="J109" s="8">
        <f>COUNTA($A$2:A109)/175</f>
        <v>0.6171428571428571</v>
      </c>
    </row>
    <row r="110" spans="1:10" ht="15.75" customHeight="1" x14ac:dyDescent="0.25">
      <c r="A110">
        <v>109</v>
      </c>
      <c r="I110" s="5" t="s">
        <v>277</v>
      </c>
      <c r="J110" s="8">
        <f>COUNTA($A$2:A110)/175</f>
        <v>0.62285714285714289</v>
      </c>
    </row>
    <row r="111" spans="1:10" ht="15.75" customHeight="1" x14ac:dyDescent="0.25">
      <c r="A111">
        <v>110</v>
      </c>
      <c r="I111" s="5" t="s">
        <v>277</v>
      </c>
      <c r="J111" s="8">
        <f>COUNTA($A$2:A111)/175</f>
        <v>0.62857142857142856</v>
      </c>
    </row>
    <row r="112" spans="1:10" ht="15.75" customHeight="1" x14ac:dyDescent="0.25">
      <c r="A112">
        <v>111</v>
      </c>
      <c r="I112" s="5" t="s">
        <v>277</v>
      </c>
      <c r="J112" s="8">
        <f>COUNTA($A$2:A112)/175</f>
        <v>0.63428571428571423</v>
      </c>
    </row>
    <row r="113" spans="1:10" ht="15.75" customHeight="1" x14ac:dyDescent="0.25">
      <c r="A113">
        <v>112</v>
      </c>
      <c r="I113" s="5" t="s">
        <v>277</v>
      </c>
      <c r="J113" s="8">
        <f>COUNTA($A$2:A113)/175</f>
        <v>0.64</v>
      </c>
    </row>
    <row r="114" spans="1:10" ht="15.75" customHeight="1" x14ac:dyDescent="0.25">
      <c r="A114">
        <v>113</v>
      </c>
      <c r="I114" s="5" t="s">
        <v>277</v>
      </c>
      <c r="J114" s="8">
        <f>COUNTA($A$2:A114)/175</f>
        <v>0.64571428571428569</v>
      </c>
    </row>
    <row r="115" spans="1:10" ht="15.75" customHeight="1" x14ac:dyDescent="0.25">
      <c r="A115">
        <v>114</v>
      </c>
      <c r="I115" s="5" t="s">
        <v>277</v>
      </c>
      <c r="J115" s="8">
        <f>COUNTA($A$2:A115)/175</f>
        <v>0.65142857142857147</v>
      </c>
    </row>
    <row r="116" spans="1:10" ht="15.75" customHeight="1" x14ac:dyDescent="0.25">
      <c r="A116">
        <v>115</v>
      </c>
      <c r="I116" s="5" t="s">
        <v>277</v>
      </c>
      <c r="J116" s="8">
        <f>COUNTA($A$2:A116)/175</f>
        <v>0.65714285714285714</v>
      </c>
    </row>
    <row r="117" spans="1:10" ht="15.75" customHeight="1" x14ac:dyDescent="0.25">
      <c r="A117">
        <v>116</v>
      </c>
      <c r="I117" s="5" t="s">
        <v>277</v>
      </c>
      <c r="J117" s="8">
        <f>COUNTA($A$2:A117)/175</f>
        <v>0.66285714285714281</v>
      </c>
    </row>
    <row r="118" spans="1:10" ht="15.75" customHeight="1" x14ac:dyDescent="0.25">
      <c r="A118">
        <v>117</v>
      </c>
      <c r="I118" s="5" t="s">
        <v>277</v>
      </c>
      <c r="J118" s="8">
        <f>COUNTA($A$2:A118)/175</f>
        <v>0.66857142857142859</v>
      </c>
    </row>
    <row r="119" spans="1:10" ht="15.75" customHeight="1" x14ac:dyDescent="0.25">
      <c r="A119">
        <v>118</v>
      </c>
      <c r="I119" s="5" t="s">
        <v>277</v>
      </c>
      <c r="J119" s="8">
        <f>COUNTA($A$2:A119)/175</f>
        <v>0.67428571428571427</v>
      </c>
    </row>
    <row r="120" spans="1:10" ht="15.75" customHeight="1" x14ac:dyDescent="0.25">
      <c r="A120">
        <v>119</v>
      </c>
      <c r="I120" s="5" t="s">
        <v>277</v>
      </c>
      <c r="J120" s="8">
        <f>COUNTA($A$2:A120)/175</f>
        <v>0.68</v>
      </c>
    </row>
    <row r="121" spans="1:10" ht="15.75" customHeight="1" x14ac:dyDescent="0.25">
      <c r="A121">
        <v>120</v>
      </c>
      <c r="I121" s="5" t="s">
        <v>277</v>
      </c>
      <c r="J121" s="8">
        <f>COUNTA($A$2:A121)/175</f>
        <v>0.68571428571428572</v>
      </c>
    </row>
    <row r="122" spans="1:10" ht="15.75" customHeight="1" x14ac:dyDescent="0.25">
      <c r="A122">
        <v>121</v>
      </c>
      <c r="I122" s="5" t="s">
        <v>277</v>
      </c>
      <c r="J122" s="8">
        <f>COUNTA($A$2:A122)/175</f>
        <v>0.69142857142857139</v>
      </c>
    </row>
    <row r="123" spans="1:10" ht="15.75" customHeight="1" x14ac:dyDescent="0.25">
      <c r="A123">
        <v>122</v>
      </c>
      <c r="I123" s="5" t="s">
        <v>277</v>
      </c>
      <c r="J123" s="8">
        <f>COUNTA($A$2:A123)/175</f>
        <v>0.69714285714285718</v>
      </c>
    </row>
    <row r="124" spans="1:10" ht="15.75" customHeight="1" x14ac:dyDescent="0.25">
      <c r="A124">
        <v>123</v>
      </c>
      <c r="I124" s="5" t="s">
        <v>277</v>
      </c>
      <c r="J124" s="8">
        <f>COUNTA($A$2:A124)/175</f>
        <v>0.70285714285714285</v>
      </c>
    </row>
    <row r="125" spans="1:10" ht="15.75" customHeight="1" x14ac:dyDescent="0.25">
      <c r="A125">
        <v>124</v>
      </c>
      <c r="I125" s="5" t="s">
        <v>277</v>
      </c>
      <c r="J125" s="8">
        <f>COUNTA($A$2:A125)/175</f>
        <v>0.70857142857142852</v>
      </c>
    </row>
    <row r="126" spans="1:10" ht="15.75" customHeight="1" x14ac:dyDescent="0.25">
      <c r="A126">
        <v>125</v>
      </c>
      <c r="I126" s="5" t="s">
        <v>277</v>
      </c>
      <c r="J126" s="8">
        <f>COUNTA($A$2:A126)/175</f>
        <v>0.7142857142857143</v>
      </c>
    </row>
    <row r="127" spans="1:10" ht="15.75" customHeight="1" x14ac:dyDescent="0.25">
      <c r="A127">
        <v>126</v>
      </c>
      <c r="I127" s="5" t="s">
        <v>277</v>
      </c>
      <c r="J127" s="8">
        <f>COUNTA($A$2:A127)/175</f>
        <v>0.72</v>
      </c>
    </row>
    <row r="128" spans="1:10" ht="15.75" customHeight="1" x14ac:dyDescent="0.25">
      <c r="A128">
        <v>127</v>
      </c>
      <c r="I128" s="5" t="s">
        <v>277</v>
      </c>
      <c r="J128" s="8">
        <f>COUNTA($A$2:A128)/175</f>
        <v>0.72571428571428576</v>
      </c>
    </row>
    <row r="129" spans="1:10" ht="15.75" customHeight="1" x14ac:dyDescent="0.25">
      <c r="A129">
        <v>128</v>
      </c>
      <c r="I129" s="5" t="s">
        <v>277</v>
      </c>
      <c r="J129" s="8">
        <f>COUNTA($A$2:A129)/175</f>
        <v>0.73142857142857143</v>
      </c>
    </row>
    <row r="130" spans="1:10" ht="15.75" customHeight="1" x14ac:dyDescent="0.25">
      <c r="A130">
        <v>129</v>
      </c>
      <c r="I130" s="5" t="s">
        <v>277</v>
      </c>
      <c r="J130" s="8">
        <f>COUNTA($A$2:A130)/175</f>
        <v>0.7371428571428571</v>
      </c>
    </row>
    <row r="131" spans="1:10" ht="15.75" customHeight="1" x14ac:dyDescent="0.25">
      <c r="A131">
        <v>130</v>
      </c>
      <c r="I131" s="5" t="s">
        <v>277</v>
      </c>
      <c r="J131" s="8">
        <f>COUNTA($A$2:A131)/175</f>
        <v>0.74285714285714288</v>
      </c>
    </row>
    <row r="132" spans="1:10" ht="15.75" customHeight="1" x14ac:dyDescent="0.25">
      <c r="A132">
        <v>131</v>
      </c>
      <c r="I132" s="5" t="s">
        <v>277</v>
      </c>
      <c r="J132" s="8">
        <f>COUNTA($A$2:A132)/175</f>
        <v>0.74857142857142855</v>
      </c>
    </row>
    <row r="133" spans="1:10" ht="15.75" customHeight="1" x14ac:dyDescent="0.25">
      <c r="A133">
        <v>132</v>
      </c>
      <c r="I133" s="5" t="s">
        <v>277</v>
      </c>
      <c r="J133" s="8">
        <f>COUNTA($A$2:A133)/175</f>
        <v>0.75428571428571434</v>
      </c>
    </row>
    <row r="134" spans="1:10" ht="15.75" customHeight="1" x14ac:dyDescent="0.25">
      <c r="A134">
        <v>133</v>
      </c>
      <c r="I134" s="5" t="s">
        <v>277</v>
      </c>
      <c r="J134" s="8">
        <f>COUNTA($A$2:A134)/175</f>
        <v>0.76</v>
      </c>
    </row>
    <row r="135" spans="1:10" ht="15.75" customHeight="1" x14ac:dyDescent="0.25">
      <c r="A135">
        <v>134</v>
      </c>
      <c r="I135" s="5" t="s">
        <v>277</v>
      </c>
      <c r="J135" s="8">
        <f>COUNTA($A$2:A135)/175</f>
        <v>0.76571428571428568</v>
      </c>
    </row>
    <row r="136" spans="1:10" ht="15.75" customHeight="1" x14ac:dyDescent="0.25">
      <c r="A136">
        <v>135</v>
      </c>
      <c r="I136" s="5" t="s">
        <v>277</v>
      </c>
      <c r="J136" s="8">
        <f>COUNTA($A$2:A136)/175</f>
        <v>0.77142857142857146</v>
      </c>
    </row>
    <row r="137" spans="1:10" ht="15.75" customHeight="1" x14ac:dyDescent="0.25">
      <c r="A137">
        <v>136</v>
      </c>
      <c r="I137" s="5" t="s">
        <v>277</v>
      </c>
      <c r="J137" s="8">
        <f>COUNTA($A$2:A137)/175</f>
        <v>0.77714285714285714</v>
      </c>
    </row>
    <row r="138" spans="1:10" ht="15.75" customHeight="1" x14ac:dyDescent="0.25">
      <c r="A138">
        <v>137</v>
      </c>
      <c r="I138" s="5" t="s">
        <v>277</v>
      </c>
      <c r="J138" s="8">
        <f>COUNTA($A$2:A138)/175</f>
        <v>0.78285714285714281</v>
      </c>
    </row>
    <row r="139" spans="1:10" ht="15.75" customHeight="1" x14ac:dyDescent="0.25">
      <c r="A139">
        <v>138</v>
      </c>
      <c r="I139" s="5" t="s">
        <v>277</v>
      </c>
      <c r="J139" s="8">
        <f>COUNTA($A$2:A139)/175</f>
        <v>0.78857142857142859</v>
      </c>
    </row>
    <row r="140" spans="1:10" ht="15.75" customHeight="1" x14ac:dyDescent="0.25">
      <c r="A140">
        <v>139</v>
      </c>
      <c r="I140" s="5" t="s">
        <v>277</v>
      </c>
      <c r="J140" s="8">
        <f>COUNTA($A$2:A140)/175</f>
        <v>0.79428571428571426</v>
      </c>
    </row>
    <row r="141" spans="1:10" ht="15.75" customHeight="1" x14ac:dyDescent="0.3">
      <c r="A141">
        <v>140</v>
      </c>
      <c r="I141" s="5" t="s">
        <v>277</v>
      </c>
      <c r="J141" s="10">
        <f>COUNTA($A$2:A141)/175</f>
        <v>0.8</v>
      </c>
    </row>
    <row r="142" spans="1:10" ht="15.75" customHeight="1" x14ac:dyDescent="0.25">
      <c r="A142">
        <v>141</v>
      </c>
      <c r="I142" s="5" t="s">
        <v>277</v>
      </c>
      <c r="J142" s="8">
        <f>COUNTA($A$2:A142)/175</f>
        <v>0.80571428571428572</v>
      </c>
    </row>
    <row r="143" spans="1:10" ht="15.75" customHeight="1" x14ac:dyDescent="0.25">
      <c r="A143">
        <v>142</v>
      </c>
      <c r="I143" s="5" t="s">
        <v>277</v>
      </c>
      <c r="J143" s="8">
        <f>COUNTA($A$2:A143)/175</f>
        <v>0.81142857142857139</v>
      </c>
    </row>
    <row r="144" spans="1:10" ht="15.75" customHeight="1" x14ac:dyDescent="0.25">
      <c r="A144">
        <v>143</v>
      </c>
      <c r="I144" s="5" t="s">
        <v>277</v>
      </c>
      <c r="J144" s="8">
        <f>COUNTA($A$2:A144)/175</f>
        <v>0.81714285714285717</v>
      </c>
    </row>
    <row r="145" spans="1:10" ht="15.75" customHeight="1" x14ac:dyDescent="0.25">
      <c r="A145">
        <v>144</v>
      </c>
      <c r="I145" s="5" t="s">
        <v>277</v>
      </c>
      <c r="J145" s="8">
        <f>COUNTA($A$2:A145)/175</f>
        <v>0.82285714285714284</v>
      </c>
    </row>
    <row r="146" spans="1:10" ht="15.75" customHeight="1" x14ac:dyDescent="0.25">
      <c r="A146">
        <v>145</v>
      </c>
      <c r="I146" s="5" t="s">
        <v>277</v>
      </c>
      <c r="J146" s="8">
        <f>COUNTA($A$2:A146)/175</f>
        <v>0.82857142857142863</v>
      </c>
    </row>
    <row r="147" spans="1:10" ht="15.75" customHeight="1" x14ac:dyDescent="0.25">
      <c r="A147">
        <v>146</v>
      </c>
      <c r="I147" s="5" t="s">
        <v>277</v>
      </c>
      <c r="J147" s="8">
        <f>COUNTA($A$2:A147)/175</f>
        <v>0.8342857142857143</v>
      </c>
    </row>
    <row r="148" spans="1:10" ht="15.75" customHeight="1" x14ac:dyDescent="0.25">
      <c r="A148">
        <v>147</v>
      </c>
      <c r="I148" s="5" t="s">
        <v>277</v>
      </c>
      <c r="J148" s="8">
        <f>COUNTA($A$2:A148)/175</f>
        <v>0.84</v>
      </c>
    </row>
    <row r="149" spans="1:10" ht="15.75" customHeight="1" x14ac:dyDescent="0.25">
      <c r="A149">
        <v>148</v>
      </c>
      <c r="I149" s="5" t="s">
        <v>277</v>
      </c>
      <c r="J149" s="8">
        <f>COUNTA($A$2:A149)/175</f>
        <v>0.84571428571428575</v>
      </c>
    </row>
    <row r="150" spans="1:10" ht="15.75" customHeight="1" x14ac:dyDescent="0.25">
      <c r="A150">
        <v>149</v>
      </c>
      <c r="I150" s="5" t="s">
        <v>277</v>
      </c>
      <c r="J150" s="8">
        <f>COUNTA($A$2:A150)/175</f>
        <v>0.85142857142857142</v>
      </c>
    </row>
    <row r="151" spans="1:10" ht="15.75" customHeight="1" x14ac:dyDescent="0.25">
      <c r="A151">
        <v>150</v>
      </c>
      <c r="I151" s="5" t="s">
        <v>277</v>
      </c>
      <c r="J151" s="8">
        <f>COUNTA($A$2:A151)/175</f>
        <v>0.8571428571428571</v>
      </c>
    </row>
    <row r="152" spans="1:10" ht="15.75" customHeight="1" x14ac:dyDescent="0.25">
      <c r="A152">
        <v>151</v>
      </c>
      <c r="I152" s="5" t="s">
        <v>277</v>
      </c>
      <c r="J152" s="8">
        <f>COUNTA($A$2:A152)/175</f>
        <v>0.86285714285714288</v>
      </c>
    </row>
    <row r="153" spans="1:10" ht="15.75" customHeight="1" x14ac:dyDescent="0.25">
      <c r="A153">
        <v>152</v>
      </c>
      <c r="I153" s="5" t="s">
        <v>277</v>
      </c>
      <c r="J153" s="8">
        <f>COUNTA($A$2:A153)/175</f>
        <v>0.86857142857142855</v>
      </c>
    </row>
    <row r="154" spans="1:10" ht="15.75" customHeight="1" x14ac:dyDescent="0.25">
      <c r="A154">
        <v>153</v>
      </c>
      <c r="I154" s="5" t="s">
        <v>277</v>
      </c>
      <c r="J154" s="8">
        <f>COUNTA($A$2:A154)/175</f>
        <v>0.87428571428571433</v>
      </c>
    </row>
    <row r="155" spans="1:10" ht="15.75" customHeight="1" x14ac:dyDescent="0.25">
      <c r="A155">
        <v>154</v>
      </c>
      <c r="I155" s="5" t="s">
        <v>277</v>
      </c>
      <c r="J155" s="8">
        <f>COUNTA($A$2:A155)/175</f>
        <v>0.88</v>
      </c>
    </row>
    <row r="156" spans="1:10" ht="15.75" customHeight="1" x14ac:dyDescent="0.25">
      <c r="A156">
        <v>155</v>
      </c>
      <c r="I156" s="5" t="s">
        <v>277</v>
      </c>
      <c r="J156" s="8">
        <f>COUNTA($A$2:A156)/175</f>
        <v>0.88571428571428568</v>
      </c>
    </row>
    <row r="157" spans="1:10" ht="15.75" customHeight="1" x14ac:dyDescent="0.25">
      <c r="A157">
        <v>156</v>
      </c>
      <c r="I157" s="5" t="s">
        <v>277</v>
      </c>
      <c r="J157" s="8">
        <f>COUNTA($A$2:A157)/175</f>
        <v>0.89142857142857146</v>
      </c>
    </row>
    <row r="158" spans="1:10" ht="15.75" customHeight="1" x14ac:dyDescent="0.25">
      <c r="A158">
        <v>157</v>
      </c>
      <c r="I158" s="5" t="s">
        <v>277</v>
      </c>
      <c r="J158" s="8">
        <f>COUNTA($A$2:A158)/175</f>
        <v>0.89714285714285713</v>
      </c>
    </row>
    <row r="159" spans="1:10" ht="15.75" customHeight="1" x14ac:dyDescent="0.25">
      <c r="A159">
        <v>158</v>
      </c>
      <c r="I159" s="5" t="s">
        <v>277</v>
      </c>
      <c r="J159" s="8">
        <f>COUNTA($A$2:A159)/175</f>
        <v>0.9028571428571428</v>
      </c>
    </row>
    <row r="160" spans="1:10" ht="15.75" customHeight="1" x14ac:dyDescent="0.25">
      <c r="A160">
        <v>159</v>
      </c>
      <c r="I160" s="5" t="s">
        <v>277</v>
      </c>
      <c r="J160" s="8">
        <f>COUNTA($A$2:A160)/175</f>
        <v>0.90857142857142859</v>
      </c>
    </row>
    <row r="161" spans="1:10" ht="15.75" customHeight="1" x14ac:dyDescent="0.25">
      <c r="A161">
        <v>160</v>
      </c>
      <c r="I161" s="5" t="s">
        <v>277</v>
      </c>
      <c r="J161" s="8">
        <f>COUNTA($A$2:A161)/175</f>
        <v>0.91428571428571426</v>
      </c>
    </row>
    <row r="162" spans="1:10" ht="15.75" customHeight="1" x14ac:dyDescent="0.25">
      <c r="A162">
        <v>161</v>
      </c>
      <c r="I162" s="5" t="s">
        <v>277</v>
      </c>
      <c r="J162" s="8">
        <f>COUNTA($A$2:A162)/175</f>
        <v>0.92</v>
      </c>
    </row>
    <row r="163" spans="1:10" ht="15.75" customHeight="1" x14ac:dyDescent="0.25">
      <c r="A163">
        <v>162</v>
      </c>
      <c r="I163" s="5" t="s">
        <v>277</v>
      </c>
      <c r="J163" s="8">
        <f>COUNTA($A$2:A163)/175</f>
        <v>0.92571428571428571</v>
      </c>
    </row>
    <row r="164" spans="1:10" ht="15.75" customHeight="1" x14ac:dyDescent="0.25">
      <c r="A164">
        <v>163</v>
      </c>
      <c r="I164" s="5" t="s">
        <v>277</v>
      </c>
      <c r="J164" s="8">
        <f>COUNTA($A$2:A164)/175</f>
        <v>0.93142857142857138</v>
      </c>
    </row>
    <row r="165" spans="1:10" ht="15.75" customHeight="1" x14ac:dyDescent="0.25">
      <c r="A165">
        <v>164</v>
      </c>
      <c r="I165" s="5" t="s">
        <v>277</v>
      </c>
      <c r="J165" s="8">
        <f>COUNTA($A$2:A165)/175</f>
        <v>0.93714285714285717</v>
      </c>
    </row>
    <row r="166" spans="1:10" ht="15.75" customHeight="1" x14ac:dyDescent="0.25">
      <c r="A166">
        <v>165</v>
      </c>
      <c r="I166" s="5" t="s">
        <v>277</v>
      </c>
      <c r="J166" s="8">
        <f>COUNTA($A$2:A166)/175</f>
        <v>0.94285714285714284</v>
      </c>
    </row>
    <row r="167" spans="1:10" ht="15.75" customHeight="1" x14ac:dyDescent="0.25">
      <c r="A167">
        <v>166</v>
      </c>
      <c r="I167" s="5" t="s">
        <v>277</v>
      </c>
      <c r="J167" s="8">
        <f>COUNTA($A$2:A167)/175</f>
        <v>0.94857142857142862</v>
      </c>
    </row>
    <row r="168" spans="1:10" ht="15.75" customHeight="1" x14ac:dyDescent="0.25">
      <c r="A168">
        <v>167</v>
      </c>
      <c r="I168" s="5" t="s">
        <v>277</v>
      </c>
      <c r="J168" s="8">
        <f>COUNTA($A$2:A168)/175</f>
        <v>0.95428571428571429</v>
      </c>
    </row>
    <row r="169" spans="1:10" ht="15.75" customHeight="1" x14ac:dyDescent="0.25">
      <c r="A169">
        <v>168</v>
      </c>
      <c r="I169" s="5" t="s">
        <v>277</v>
      </c>
      <c r="J169" s="8">
        <f>COUNTA($A$2:A169)/175</f>
        <v>0.96</v>
      </c>
    </row>
    <row r="170" spans="1:10" ht="15.75" customHeight="1" x14ac:dyDescent="0.25">
      <c r="A170">
        <v>169</v>
      </c>
      <c r="I170" s="5" t="s">
        <v>277</v>
      </c>
      <c r="J170" s="8">
        <f>COUNTA($A$2:A170)/175</f>
        <v>0.96571428571428575</v>
      </c>
    </row>
    <row r="171" spans="1:10" ht="15.75" customHeight="1" x14ac:dyDescent="0.25">
      <c r="A171">
        <v>170</v>
      </c>
      <c r="I171" s="5" t="s">
        <v>277</v>
      </c>
      <c r="J171" s="8">
        <f>COUNTA($A$2:A171)/175</f>
        <v>0.97142857142857142</v>
      </c>
    </row>
    <row r="172" spans="1:10" ht="15.75" customHeight="1" x14ac:dyDescent="0.25">
      <c r="A172">
        <v>171</v>
      </c>
      <c r="I172" s="5" t="s">
        <v>277</v>
      </c>
      <c r="J172" s="8">
        <f>COUNTA($A$2:A172)/175</f>
        <v>0.97714285714285709</v>
      </c>
    </row>
    <row r="173" spans="1:10" ht="15.75" customHeight="1" x14ac:dyDescent="0.25">
      <c r="A173">
        <v>172</v>
      </c>
      <c r="I173" s="5" t="s">
        <v>277</v>
      </c>
      <c r="J173" s="8">
        <f>COUNTA($A$2:A173)/175</f>
        <v>0.98285714285714287</v>
      </c>
    </row>
    <row r="174" spans="1:10" ht="15.75" customHeight="1" x14ac:dyDescent="0.25">
      <c r="A174">
        <v>173</v>
      </c>
      <c r="I174" s="5" t="s">
        <v>277</v>
      </c>
      <c r="J174" s="8">
        <f>COUNTA($A$2:A174)/175</f>
        <v>0.98857142857142855</v>
      </c>
    </row>
    <row r="175" spans="1:10" ht="15.75" customHeight="1" x14ac:dyDescent="0.25">
      <c r="A175">
        <v>174</v>
      </c>
      <c r="I175" s="5" t="s">
        <v>277</v>
      </c>
      <c r="J175" s="8">
        <f>COUNTA($A$2:A175)/175</f>
        <v>0.99428571428571433</v>
      </c>
    </row>
    <row r="176" spans="1:10" ht="15.75" customHeight="1" x14ac:dyDescent="0.3">
      <c r="A176">
        <v>175</v>
      </c>
      <c r="I176" s="5" t="s">
        <v>277</v>
      </c>
      <c r="J176" s="10">
        <f>COUNTA($A$2:A176)/175</f>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59"/>
  <sheetViews>
    <sheetView workbookViewId="0">
      <selection activeCell="D43" sqref="D43"/>
    </sheetView>
  </sheetViews>
  <sheetFormatPr defaultColWidth="12.54296875" defaultRowHeight="15.75" customHeight="1" x14ac:dyDescent="0.25"/>
  <cols>
    <col min="1" max="1" width="3.81640625" bestFit="1" customWidth="1"/>
  </cols>
  <sheetData>
    <row r="1" spans="1:11" ht="15.75" customHeight="1" x14ac:dyDescent="0.25">
      <c r="A1" t="s">
        <v>163</v>
      </c>
      <c r="B1" s="1" t="s">
        <v>0</v>
      </c>
      <c r="C1" s="1" t="s">
        <v>1</v>
      </c>
      <c r="D1" s="1" t="s">
        <v>2</v>
      </c>
      <c r="E1" s="1" t="s">
        <v>3</v>
      </c>
      <c r="F1" s="1" t="s">
        <v>263</v>
      </c>
      <c r="G1" s="1" t="s">
        <v>264</v>
      </c>
      <c r="H1" s="1" t="s">
        <v>265</v>
      </c>
      <c r="I1" s="7" t="s">
        <v>280</v>
      </c>
      <c r="J1" s="5" t="s">
        <v>283</v>
      </c>
      <c r="K1" s="5" t="s">
        <v>284</v>
      </c>
    </row>
    <row r="2" spans="1:11" ht="15.75" customHeight="1" x14ac:dyDescent="0.25">
      <c r="A2">
        <v>1</v>
      </c>
      <c r="B2" s="1" t="s">
        <v>131</v>
      </c>
      <c r="C2" s="1" t="s">
        <v>4</v>
      </c>
      <c r="D2" s="1" t="s">
        <v>5</v>
      </c>
      <c r="E2" s="1" t="s">
        <v>6</v>
      </c>
    </row>
    <row r="3" spans="1:11" ht="15.75" customHeight="1" x14ac:dyDescent="0.25">
      <c r="A3">
        <v>2</v>
      </c>
      <c r="B3" s="1" t="s">
        <v>132</v>
      </c>
      <c r="C3" s="1" t="s">
        <v>7</v>
      </c>
      <c r="D3" s="1" t="s">
        <v>8</v>
      </c>
      <c r="E3" s="1" t="s">
        <v>9</v>
      </c>
    </row>
    <row r="4" spans="1:11" ht="15.75" customHeight="1" x14ac:dyDescent="0.25">
      <c r="A4">
        <v>3</v>
      </c>
      <c r="B4" s="1" t="s">
        <v>133</v>
      </c>
      <c r="C4" s="1" t="s">
        <v>10</v>
      </c>
      <c r="D4" s="1" t="s">
        <v>11</v>
      </c>
      <c r="E4" s="1" t="s">
        <v>12</v>
      </c>
    </row>
    <row r="5" spans="1:11" ht="15.75" customHeight="1" x14ac:dyDescent="0.25">
      <c r="A5">
        <v>4</v>
      </c>
      <c r="B5" s="1" t="s">
        <v>134</v>
      </c>
      <c r="C5" s="1" t="s">
        <v>13</v>
      </c>
      <c r="D5" s="1" t="s">
        <v>5</v>
      </c>
      <c r="E5" s="1" t="s">
        <v>14</v>
      </c>
    </row>
    <row r="6" spans="1:11" ht="15.75" customHeight="1" x14ac:dyDescent="0.25">
      <c r="A6">
        <v>5</v>
      </c>
      <c r="B6" s="1" t="s">
        <v>135</v>
      </c>
      <c r="C6" s="1" t="s">
        <v>15</v>
      </c>
      <c r="D6" s="1" t="s">
        <v>16</v>
      </c>
      <c r="E6" s="1" t="s">
        <v>17</v>
      </c>
    </row>
    <row r="7" spans="1:11" ht="15.75" customHeight="1" x14ac:dyDescent="0.25">
      <c r="A7">
        <v>6</v>
      </c>
      <c r="B7" s="1" t="s">
        <v>136</v>
      </c>
      <c r="C7" s="1" t="s">
        <v>18</v>
      </c>
      <c r="D7" s="1" t="s">
        <v>5</v>
      </c>
      <c r="E7" s="1" t="s">
        <v>19</v>
      </c>
    </row>
    <row r="8" spans="1:11" ht="15.75" customHeight="1" x14ac:dyDescent="0.25">
      <c r="A8">
        <v>7</v>
      </c>
      <c r="B8" s="1" t="s">
        <v>137</v>
      </c>
      <c r="C8" s="1" t="s">
        <v>20</v>
      </c>
      <c r="D8" s="1" t="s">
        <v>8</v>
      </c>
      <c r="E8" s="1" t="s">
        <v>21</v>
      </c>
    </row>
    <row r="9" spans="1:11" ht="15.75" customHeight="1" x14ac:dyDescent="0.25">
      <c r="A9">
        <v>8</v>
      </c>
      <c r="B9" s="1" t="s">
        <v>138</v>
      </c>
      <c r="C9" s="1" t="s">
        <v>22</v>
      </c>
      <c r="D9" s="1" t="s">
        <v>5</v>
      </c>
      <c r="E9" s="1" t="s">
        <v>23</v>
      </c>
    </row>
    <row r="10" spans="1:11" ht="15.75" customHeight="1" x14ac:dyDescent="0.25">
      <c r="A10">
        <v>9</v>
      </c>
      <c r="B10" s="1" t="s">
        <v>139</v>
      </c>
      <c r="C10" s="1" t="s">
        <v>24</v>
      </c>
      <c r="D10" s="1" t="s">
        <v>5</v>
      </c>
      <c r="E10" s="1" t="s">
        <v>25</v>
      </c>
    </row>
    <row r="11" spans="1:11" ht="15.75" customHeight="1" x14ac:dyDescent="0.25">
      <c r="A11">
        <v>10</v>
      </c>
      <c r="B11" s="1" t="s">
        <v>140</v>
      </c>
      <c r="C11" s="1" t="s">
        <v>26</v>
      </c>
      <c r="D11" s="1" t="s">
        <v>5</v>
      </c>
      <c r="E11" s="1" t="s">
        <v>27</v>
      </c>
    </row>
    <row r="12" spans="1:11" ht="15.75" customHeight="1" x14ac:dyDescent="0.25">
      <c r="A12">
        <v>11</v>
      </c>
      <c r="B12" s="1" t="s">
        <v>141</v>
      </c>
      <c r="C12" s="1" t="s">
        <v>28</v>
      </c>
      <c r="D12" s="1" t="s">
        <v>16</v>
      </c>
      <c r="E12" s="1" t="s">
        <v>29</v>
      </c>
    </row>
    <row r="13" spans="1:11" ht="15.75" customHeight="1" x14ac:dyDescent="0.25">
      <c r="A13">
        <v>12</v>
      </c>
      <c r="B13" s="1" t="s">
        <v>142</v>
      </c>
      <c r="C13" s="1" t="s">
        <v>30</v>
      </c>
      <c r="D13" s="1" t="s">
        <v>11</v>
      </c>
      <c r="E13" s="1" t="s">
        <v>31</v>
      </c>
    </row>
    <row r="14" spans="1:11" ht="15.75" customHeight="1" x14ac:dyDescent="0.25">
      <c r="A14">
        <v>13</v>
      </c>
      <c r="B14" s="1" t="s">
        <v>143</v>
      </c>
      <c r="C14" s="1" t="s">
        <v>32</v>
      </c>
      <c r="D14" s="1" t="s">
        <v>8</v>
      </c>
      <c r="E14" s="1" t="s">
        <v>33</v>
      </c>
    </row>
    <row r="15" spans="1:11" ht="15.75" customHeight="1" x14ac:dyDescent="0.25">
      <c r="A15">
        <v>14</v>
      </c>
      <c r="B15" s="1" t="s">
        <v>144</v>
      </c>
      <c r="C15" s="1" t="s">
        <v>34</v>
      </c>
      <c r="D15" s="1" t="s">
        <v>8</v>
      </c>
      <c r="E15" s="1" t="s">
        <v>35</v>
      </c>
    </row>
    <row r="16" spans="1:11" ht="15.75" customHeight="1" x14ac:dyDescent="0.25">
      <c r="A16">
        <v>15</v>
      </c>
      <c r="B16" s="1" t="s">
        <v>145</v>
      </c>
      <c r="C16" s="1" t="s">
        <v>36</v>
      </c>
      <c r="D16" s="1" t="s">
        <v>16</v>
      </c>
      <c r="E16" s="1" t="s">
        <v>37</v>
      </c>
    </row>
    <row r="17" spans="1:5" ht="15.75" customHeight="1" x14ac:dyDescent="0.25">
      <c r="A17">
        <v>16</v>
      </c>
      <c r="B17" s="1" t="s">
        <v>146</v>
      </c>
      <c r="C17" s="1" t="s">
        <v>38</v>
      </c>
      <c r="D17" s="1" t="s">
        <v>5</v>
      </c>
      <c r="E17" s="1" t="s">
        <v>39</v>
      </c>
    </row>
    <row r="18" spans="1:5" ht="15.75" customHeight="1" x14ac:dyDescent="0.25">
      <c r="A18">
        <v>17</v>
      </c>
      <c r="B18" s="1" t="s">
        <v>147</v>
      </c>
      <c r="C18" s="1" t="s">
        <v>40</v>
      </c>
      <c r="D18" s="1" t="s">
        <v>11</v>
      </c>
      <c r="E18" s="1" t="s">
        <v>41</v>
      </c>
    </row>
    <row r="19" spans="1:5" ht="15.75" customHeight="1" x14ac:dyDescent="0.25">
      <c r="A19">
        <v>18</v>
      </c>
      <c r="B19" s="1" t="s">
        <v>148</v>
      </c>
      <c r="C19" s="1" t="s">
        <v>42</v>
      </c>
      <c r="D19" s="1" t="s">
        <v>16</v>
      </c>
      <c r="E19" s="1" t="s">
        <v>43</v>
      </c>
    </row>
    <row r="20" spans="1:5" ht="15.75" customHeight="1" x14ac:dyDescent="0.25">
      <c r="A20">
        <v>19</v>
      </c>
      <c r="B20" s="1" t="s">
        <v>149</v>
      </c>
      <c r="C20" s="1" t="s">
        <v>44</v>
      </c>
      <c r="D20" s="1" t="s">
        <v>5</v>
      </c>
      <c r="E20" s="1" t="s">
        <v>45</v>
      </c>
    </row>
    <row r="21" spans="1:5" ht="15.75" customHeight="1" x14ac:dyDescent="0.25">
      <c r="A21">
        <v>20</v>
      </c>
      <c r="B21" s="1" t="s">
        <v>150</v>
      </c>
      <c r="C21" s="1" t="s">
        <v>46</v>
      </c>
      <c r="D21" s="1" t="s">
        <v>11</v>
      </c>
      <c r="E21" s="1" t="s">
        <v>47</v>
      </c>
    </row>
    <row r="22" spans="1:5" ht="15.75" customHeight="1" x14ac:dyDescent="0.25">
      <c r="A22">
        <v>21</v>
      </c>
      <c r="B22" s="1" t="s">
        <v>151</v>
      </c>
      <c r="C22" s="1" t="s">
        <v>48</v>
      </c>
      <c r="D22" s="1" t="s">
        <v>11</v>
      </c>
      <c r="E22" s="1" t="s">
        <v>49</v>
      </c>
    </row>
    <row r="23" spans="1:5" ht="15.75" customHeight="1" x14ac:dyDescent="0.25">
      <c r="A23">
        <v>22</v>
      </c>
      <c r="B23" s="1" t="s">
        <v>152</v>
      </c>
      <c r="C23" s="1" t="s">
        <v>50</v>
      </c>
      <c r="D23" s="1" t="s">
        <v>5</v>
      </c>
      <c r="E23" s="1" t="s">
        <v>51</v>
      </c>
    </row>
    <row r="24" spans="1:5" ht="15.75" customHeight="1" x14ac:dyDescent="0.25">
      <c r="A24">
        <v>23</v>
      </c>
      <c r="B24" s="1" t="s">
        <v>153</v>
      </c>
      <c r="C24" s="1" t="s">
        <v>52</v>
      </c>
      <c r="D24" s="1" t="s">
        <v>16</v>
      </c>
      <c r="E24" s="1" t="s">
        <v>53</v>
      </c>
    </row>
    <row r="25" spans="1:5" ht="15.75" customHeight="1" x14ac:dyDescent="0.25">
      <c r="A25">
        <v>24</v>
      </c>
      <c r="B25" s="1" t="s">
        <v>154</v>
      </c>
      <c r="C25" s="1" t="s">
        <v>54</v>
      </c>
      <c r="D25" s="1" t="s">
        <v>8</v>
      </c>
      <c r="E25" s="1" t="s">
        <v>55</v>
      </c>
    </row>
    <row r="26" spans="1:5" ht="15.75" customHeight="1" x14ac:dyDescent="0.25">
      <c r="A26">
        <v>25</v>
      </c>
      <c r="B26" s="1" t="s">
        <v>155</v>
      </c>
      <c r="C26" s="1" t="s">
        <v>56</v>
      </c>
      <c r="D26" s="1" t="s">
        <v>8</v>
      </c>
      <c r="E26" s="1" t="s">
        <v>57</v>
      </c>
    </row>
    <row r="27" spans="1:5" ht="15.75" customHeight="1" x14ac:dyDescent="0.25">
      <c r="A27">
        <v>26</v>
      </c>
      <c r="B27" s="1" t="s">
        <v>156</v>
      </c>
      <c r="C27" s="1" t="s">
        <v>58</v>
      </c>
      <c r="D27" s="1" t="s">
        <v>16</v>
      </c>
      <c r="E27" s="1" t="s">
        <v>59</v>
      </c>
    </row>
    <row r="28" spans="1:5" ht="15.75" customHeight="1" x14ac:dyDescent="0.25">
      <c r="A28">
        <v>27</v>
      </c>
      <c r="B28" t="s">
        <v>60</v>
      </c>
      <c r="C28" t="s">
        <v>61</v>
      </c>
      <c r="D28" s="1" t="s">
        <v>5</v>
      </c>
      <c r="E28" t="s">
        <v>62</v>
      </c>
    </row>
    <row r="29" spans="1:5" ht="15.75" customHeight="1" x14ac:dyDescent="0.25">
      <c r="A29">
        <v>28</v>
      </c>
      <c r="B29" s="1" t="s">
        <v>63</v>
      </c>
      <c r="C29" s="2" t="s">
        <v>64</v>
      </c>
      <c r="D29" s="1" t="s">
        <v>11</v>
      </c>
      <c r="E29" s="1" t="s">
        <v>65</v>
      </c>
    </row>
    <row r="30" spans="1:5" ht="15.75" customHeight="1" x14ac:dyDescent="0.25">
      <c r="A30">
        <v>29</v>
      </c>
      <c r="B30" s="1" t="s">
        <v>66</v>
      </c>
      <c r="C30" s="2" t="s">
        <v>67</v>
      </c>
      <c r="D30" s="1" t="s">
        <v>8</v>
      </c>
      <c r="E30" t="s">
        <v>68</v>
      </c>
    </row>
    <row r="31" spans="1:5" ht="15.75" customHeight="1" x14ac:dyDescent="0.25">
      <c r="A31">
        <v>30</v>
      </c>
      <c r="B31" s="1" t="s">
        <v>69</v>
      </c>
      <c r="C31" s="2" t="s">
        <v>70</v>
      </c>
      <c r="D31" s="1" t="s">
        <v>16</v>
      </c>
      <c r="E31" t="s">
        <v>71</v>
      </c>
    </row>
    <row r="32" spans="1:5" ht="15.75" customHeight="1" x14ac:dyDescent="0.25">
      <c r="A32">
        <v>31</v>
      </c>
      <c r="B32" s="1" t="s">
        <v>72</v>
      </c>
      <c r="C32" s="2" t="s">
        <v>73</v>
      </c>
      <c r="D32" s="1" t="s">
        <v>5</v>
      </c>
      <c r="E32" t="s">
        <v>74</v>
      </c>
    </row>
    <row r="33" spans="1:7" ht="15.75" customHeight="1" x14ac:dyDescent="0.25">
      <c r="A33">
        <v>32</v>
      </c>
      <c r="B33" s="1" t="s">
        <v>75</v>
      </c>
      <c r="C33" s="2" t="s">
        <v>76</v>
      </c>
      <c r="D33" s="1" t="s">
        <v>11</v>
      </c>
      <c r="E33" t="s">
        <v>77</v>
      </c>
    </row>
    <row r="34" spans="1:7" ht="15.75" customHeight="1" x14ac:dyDescent="0.25">
      <c r="A34">
        <v>33</v>
      </c>
      <c r="B34" s="1" t="s">
        <v>78</v>
      </c>
      <c r="C34" s="2" t="s">
        <v>79</v>
      </c>
      <c r="D34" s="1" t="s">
        <v>5</v>
      </c>
      <c r="E34" t="s">
        <v>80</v>
      </c>
    </row>
    <row r="35" spans="1:7" ht="15.75" customHeight="1" x14ac:dyDescent="0.25">
      <c r="A35">
        <v>34</v>
      </c>
      <c r="B35" s="1" t="s">
        <v>81</v>
      </c>
      <c r="C35" s="2" t="s">
        <v>82</v>
      </c>
      <c r="D35" s="1" t="s">
        <v>8</v>
      </c>
      <c r="E35" t="s">
        <v>83</v>
      </c>
    </row>
    <row r="36" spans="1:7" ht="15.75" customHeight="1" x14ac:dyDescent="0.25">
      <c r="A36">
        <v>35</v>
      </c>
      <c r="B36" s="1" t="s">
        <v>84</v>
      </c>
      <c r="C36" s="2" t="s">
        <v>85</v>
      </c>
      <c r="D36" s="1" t="s">
        <v>5</v>
      </c>
      <c r="E36" t="s">
        <v>86</v>
      </c>
      <c r="F36" t="s">
        <v>87</v>
      </c>
    </row>
    <row r="37" spans="1:7" ht="15.75" customHeight="1" x14ac:dyDescent="0.25">
      <c r="A37">
        <v>36</v>
      </c>
      <c r="B37" s="1" t="s">
        <v>88</v>
      </c>
      <c r="C37" s="2" t="s">
        <v>89</v>
      </c>
      <c r="D37" s="1" t="s">
        <v>8</v>
      </c>
      <c r="E37" t="s">
        <v>90</v>
      </c>
    </row>
    <row r="38" spans="1:7" ht="15.75" customHeight="1" x14ac:dyDescent="0.25">
      <c r="A38">
        <v>37</v>
      </c>
      <c r="B38" s="3" t="s">
        <v>113</v>
      </c>
      <c r="C38" s="2" t="s">
        <v>114</v>
      </c>
      <c r="D38" s="5" t="s">
        <v>16</v>
      </c>
      <c r="E38" s="3" t="s">
        <v>115</v>
      </c>
      <c r="F38" t="s">
        <v>97</v>
      </c>
    </row>
    <row r="39" spans="1:7" ht="15.75" customHeight="1" x14ac:dyDescent="0.25">
      <c r="A39">
        <v>38</v>
      </c>
      <c r="B39" s="1" t="s">
        <v>91</v>
      </c>
      <c r="C39" s="2" t="s">
        <v>92</v>
      </c>
      <c r="D39" s="1" t="s">
        <v>11</v>
      </c>
      <c r="E39" t="s">
        <v>93</v>
      </c>
    </row>
    <row r="40" spans="1:7" ht="15.75" customHeight="1" x14ac:dyDescent="0.25">
      <c r="A40">
        <v>39</v>
      </c>
      <c r="B40" s="1" t="s">
        <v>94</v>
      </c>
      <c r="C40" s="2" t="s">
        <v>95</v>
      </c>
      <c r="D40" s="1" t="s">
        <v>8</v>
      </c>
      <c r="E40" t="s">
        <v>96</v>
      </c>
    </row>
    <row r="41" spans="1:7" ht="15.75" customHeight="1" x14ac:dyDescent="0.25">
      <c r="A41">
        <v>40</v>
      </c>
      <c r="B41" s="1" t="s">
        <v>98</v>
      </c>
      <c r="C41" s="2" t="s">
        <v>99</v>
      </c>
      <c r="D41" s="1" t="s">
        <v>16</v>
      </c>
      <c r="E41" t="s">
        <v>100</v>
      </c>
      <c r="F41" t="s">
        <v>97</v>
      </c>
    </row>
    <row r="42" spans="1:7" ht="15.75" customHeight="1" x14ac:dyDescent="0.25">
      <c r="A42">
        <v>41</v>
      </c>
      <c r="B42" s="1" t="s">
        <v>101</v>
      </c>
      <c r="C42" s="2" t="s">
        <v>102</v>
      </c>
      <c r="D42" s="1" t="s">
        <v>5</v>
      </c>
      <c r="E42" t="s">
        <v>103</v>
      </c>
      <c r="F42" t="s">
        <v>97</v>
      </c>
    </row>
    <row r="43" spans="1:7" ht="15.75" customHeight="1" x14ac:dyDescent="0.25">
      <c r="A43">
        <v>42</v>
      </c>
      <c r="B43" s="1" t="s">
        <v>104</v>
      </c>
      <c r="C43" s="2" t="s">
        <v>105</v>
      </c>
      <c r="D43" s="1" t="s">
        <v>11</v>
      </c>
      <c r="E43" t="s">
        <v>106</v>
      </c>
    </row>
    <row r="44" spans="1:7" ht="15.75" customHeight="1" x14ac:dyDescent="0.25">
      <c r="A44">
        <v>43</v>
      </c>
      <c r="B44" s="1" t="s">
        <v>107</v>
      </c>
      <c r="C44" s="2" t="s">
        <v>108</v>
      </c>
      <c r="D44" s="1" t="s">
        <v>5</v>
      </c>
      <c r="E44" t="s">
        <v>109</v>
      </c>
    </row>
    <row r="45" spans="1:7" ht="15.75" customHeight="1" x14ac:dyDescent="0.25">
      <c r="A45">
        <v>44</v>
      </c>
      <c r="B45" s="1" t="s">
        <v>110</v>
      </c>
      <c r="C45" s="2" t="s">
        <v>111</v>
      </c>
      <c r="D45" s="1" t="s">
        <v>8</v>
      </c>
      <c r="E45" t="s">
        <v>112</v>
      </c>
    </row>
    <row r="46" spans="1:7" ht="15.75" customHeight="1" x14ac:dyDescent="0.25">
      <c r="A46">
        <v>45</v>
      </c>
      <c r="B46" s="5" t="s">
        <v>116</v>
      </c>
      <c r="C46" s="2" t="s">
        <v>117</v>
      </c>
      <c r="D46" s="5" t="s">
        <v>16</v>
      </c>
      <c r="F46" s="4" t="s">
        <v>97</v>
      </c>
    </row>
    <row r="47" spans="1:7" ht="15.75" customHeight="1" x14ac:dyDescent="0.25">
      <c r="A47">
        <v>46</v>
      </c>
      <c r="B47" s="3" t="s">
        <v>118</v>
      </c>
      <c r="C47" s="2" t="s">
        <v>119</v>
      </c>
      <c r="D47" s="5" t="s">
        <v>11</v>
      </c>
      <c r="G47" s="4" t="s">
        <v>120</v>
      </c>
    </row>
    <row r="48" spans="1:7" ht="15.75" customHeight="1" x14ac:dyDescent="0.25">
      <c r="A48">
        <v>47</v>
      </c>
      <c r="B48" s="5" t="s">
        <v>121</v>
      </c>
      <c r="C48" s="2" t="s">
        <v>122</v>
      </c>
      <c r="D48" s="5" t="s">
        <v>5</v>
      </c>
      <c r="E48" s="3" t="s">
        <v>123</v>
      </c>
      <c r="F48" s="4" t="s">
        <v>97</v>
      </c>
    </row>
    <row r="49" spans="1:6" ht="15.75" customHeight="1" x14ac:dyDescent="0.25">
      <c r="A49">
        <v>48</v>
      </c>
      <c r="B49" s="5" t="s">
        <v>124</v>
      </c>
      <c r="C49" s="2" t="s">
        <v>125</v>
      </c>
      <c r="D49" s="5" t="s">
        <v>8</v>
      </c>
      <c r="E49" s="3" t="s">
        <v>126</v>
      </c>
    </row>
    <row r="50" spans="1:6" ht="15.75" customHeight="1" x14ac:dyDescent="0.25">
      <c r="A50">
        <v>49</v>
      </c>
      <c r="B50" s="3" t="s">
        <v>127</v>
      </c>
      <c r="C50" s="2" t="s">
        <v>114</v>
      </c>
      <c r="D50" s="5" t="s">
        <v>5</v>
      </c>
      <c r="E50" s="3" t="s">
        <v>128</v>
      </c>
    </row>
    <row r="51" spans="1:6" ht="15.75" customHeight="1" x14ac:dyDescent="0.25">
      <c r="A51">
        <v>50</v>
      </c>
      <c r="B51" s="5" t="s">
        <v>130</v>
      </c>
      <c r="C51" s="3" t="s">
        <v>129</v>
      </c>
      <c r="D51" s="5" t="s">
        <v>11</v>
      </c>
      <c r="E51" s="3" t="s">
        <v>162</v>
      </c>
      <c r="F51" t="s">
        <v>161</v>
      </c>
    </row>
    <row r="52" spans="1:6" ht="15.75" customHeight="1" x14ac:dyDescent="0.25">
      <c r="A52">
        <v>51</v>
      </c>
    </row>
    <row r="53" spans="1:6" ht="15.75" customHeight="1" x14ac:dyDescent="0.25">
      <c r="A53">
        <v>52</v>
      </c>
    </row>
    <row r="54" spans="1:6" ht="15.75" customHeight="1" x14ac:dyDescent="0.25">
      <c r="A54">
        <v>53</v>
      </c>
    </row>
    <row r="55" spans="1:6" ht="15.75" customHeight="1" x14ac:dyDescent="0.25">
      <c r="A55">
        <v>54</v>
      </c>
    </row>
    <row r="56" spans="1:6" ht="15.75" customHeight="1" x14ac:dyDescent="0.25">
      <c r="A56">
        <v>55</v>
      </c>
    </row>
    <row r="57" spans="1:6" ht="15.75" customHeight="1" x14ac:dyDescent="0.25">
      <c r="A57">
        <v>56</v>
      </c>
    </row>
    <row r="58" spans="1:6" ht="15.75" customHeight="1" x14ac:dyDescent="0.25">
      <c r="A58">
        <v>57</v>
      </c>
    </row>
    <row r="59" spans="1:6" ht="15.75" customHeight="1" x14ac:dyDescent="0.25">
      <c r="A59">
        <v>58</v>
      </c>
    </row>
    <row r="60" spans="1:6" ht="15.75" customHeight="1" x14ac:dyDescent="0.25">
      <c r="A60">
        <v>59</v>
      </c>
    </row>
    <row r="61" spans="1:6" ht="15.75" customHeight="1" x14ac:dyDescent="0.25">
      <c r="A61">
        <v>60</v>
      </c>
    </row>
    <row r="62" spans="1:6" ht="15.75" customHeight="1" x14ac:dyDescent="0.25">
      <c r="A62">
        <v>61</v>
      </c>
    </row>
    <row r="63" spans="1:6" ht="15.75" customHeight="1" x14ac:dyDescent="0.25">
      <c r="A63">
        <v>62</v>
      </c>
    </row>
    <row r="64" spans="1:6" ht="15.75" customHeight="1" x14ac:dyDescent="0.25">
      <c r="A64">
        <v>63</v>
      </c>
    </row>
    <row r="65" spans="1:1" ht="15.75" customHeight="1" x14ac:dyDescent="0.25">
      <c r="A65">
        <v>64</v>
      </c>
    </row>
    <row r="66" spans="1:1" ht="15.75" customHeight="1" x14ac:dyDescent="0.25">
      <c r="A66">
        <v>65</v>
      </c>
    </row>
    <row r="67" spans="1:1" ht="15.75" customHeight="1" x14ac:dyDescent="0.25">
      <c r="A67">
        <v>66</v>
      </c>
    </row>
    <row r="68" spans="1:1" ht="15.75" customHeight="1" x14ac:dyDescent="0.25">
      <c r="A68">
        <v>67</v>
      </c>
    </row>
    <row r="69" spans="1:1" ht="15.75" customHeight="1" x14ac:dyDescent="0.25">
      <c r="A69">
        <v>68</v>
      </c>
    </row>
    <row r="70" spans="1:1" ht="15.75" customHeight="1" x14ac:dyDescent="0.25">
      <c r="A70">
        <v>69</v>
      </c>
    </row>
    <row r="71" spans="1:1" ht="15.75" customHeight="1" x14ac:dyDescent="0.25">
      <c r="A71">
        <v>70</v>
      </c>
    </row>
    <row r="72" spans="1:1" ht="15.75" customHeight="1" x14ac:dyDescent="0.25">
      <c r="A72">
        <v>71</v>
      </c>
    </row>
    <row r="73" spans="1:1" ht="15.75" customHeight="1" x14ac:dyDescent="0.25">
      <c r="A73">
        <v>72</v>
      </c>
    </row>
    <row r="74" spans="1:1" ht="15.75" customHeight="1" x14ac:dyDescent="0.25">
      <c r="A74">
        <v>73</v>
      </c>
    </row>
    <row r="75" spans="1:1" ht="15.75" customHeight="1" x14ac:dyDescent="0.25">
      <c r="A75">
        <v>74</v>
      </c>
    </row>
    <row r="76" spans="1:1" ht="15.75" customHeight="1" x14ac:dyDescent="0.25">
      <c r="A76">
        <v>75</v>
      </c>
    </row>
    <row r="77" spans="1:1" ht="15.75" customHeight="1" x14ac:dyDescent="0.25">
      <c r="A77">
        <v>76</v>
      </c>
    </row>
    <row r="78" spans="1:1" ht="15.75" customHeight="1" x14ac:dyDescent="0.25">
      <c r="A78">
        <v>77</v>
      </c>
    </row>
    <row r="79" spans="1:1" ht="15.75" customHeight="1" x14ac:dyDescent="0.25">
      <c r="A79">
        <v>78</v>
      </c>
    </row>
    <row r="80" spans="1:1" ht="15.75" customHeight="1" x14ac:dyDescent="0.25">
      <c r="A80">
        <v>79</v>
      </c>
    </row>
    <row r="81" spans="1:1" ht="15.75" customHeight="1" x14ac:dyDescent="0.25">
      <c r="A81">
        <v>80</v>
      </c>
    </row>
    <row r="82" spans="1:1" ht="15.75" customHeight="1" x14ac:dyDescent="0.25">
      <c r="A82">
        <v>81</v>
      </c>
    </row>
    <row r="83" spans="1:1" ht="15.75" customHeight="1" x14ac:dyDescent="0.25">
      <c r="A83">
        <v>82</v>
      </c>
    </row>
    <row r="84" spans="1:1" ht="15.75" customHeight="1" x14ac:dyDescent="0.25">
      <c r="A84">
        <v>83</v>
      </c>
    </row>
    <row r="85" spans="1:1" ht="15.75" customHeight="1" x14ac:dyDescent="0.25">
      <c r="A85">
        <v>84</v>
      </c>
    </row>
    <row r="86" spans="1:1" ht="15.75" customHeight="1" x14ac:dyDescent="0.25">
      <c r="A86">
        <v>85</v>
      </c>
    </row>
    <row r="87" spans="1:1" ht="15.75" customHeight="1" x14ac:dyDescent="0.25">
      <c r="A87">
        <v>86</v>
      </c>
    </row>
    <row r="88" spans="1:1" ht="15.75" customHeight="1" x14ac:dyDescent="0.25">
      <c r="A88">
        <v>87</v>
      </c>
    </row>
    <row r="89" spans="1:1" ht="15.75" customHeight="1" x14ac:dyDescent="0.25">
      <c r="A89">
        <v>88</v>
      </c>
    </row>
    <row r="90" spans="1:1" ht="15.75" customHeight="1" x14ac:dyDescent="0.25">
      <c r="A90">
        <v>89</v>
      </c>
    </row>
    <row r="91" spans="1:1" ht="15.75" customHeight="1" x14ac:dyDescent="0.25">
      <c r="A91">
        <v>90</v>
      </c>
    </row>
    <row r="92" spans="1:1" ht="15.75" customHeight="1" x14ac:dyDescent="0.25">
      <c r="A92">
        <v>91</v>
      </c>
    </row>
    <row r="93" spans="1:1" ht="15.75" customHeight="1" x14ac:dyDescent="0.25">
      <c r="A93">
        <v>92</v>
      </c>
    </row>
    <row r="94" spans="1:1" ht="15.75" customHeight="1" x14ac:dyDescent="0.25">
      <c r="A94">
        <v>93</v>
      </c>
    </row>
    <row r="95" spans="1:1" ht="15.75" customHeight="1" x14ac:dyDescent="0.25">
      <c r="A95">
        <v>94</v>
      </c>
    </row>
    <row r="96" spans="1:1" ht="15.75" customHeight="1" x14ac:dyDescent="0.25">
      <c r="A96">
        <v>95</v>
      </c>
    </row>
    <row r="97" spans="1:1" ht="15.75" customHeight="1" x14ac:dyDescent="0.25">
      <c r="A97">
        <v>96</v>
      </c>
    </row>
    <row r="98" spans="1:1" ht="15.75" customHeight="1" x14ac:dyDescent="0.25">
      <c r="A98">
        <v>97</v>
      </c>
    </row>
    <row r="99" spans="1:1" ht="15.75" customHeight="1" x14ac:dyDescent="0.25">
      <c r="A99">
        <v>98</v>
      </c>
    </row>
    <row r="100" spans="1:1" ht="15.75" customHeight="1" x14ac:dyDescent="0.25">
      <c r="A100">
        <v>99</v>
      </c>
    </row>
    <row r="101" spans="1:1" ht="15.75" customHeight="1" x14ac:dyDescent="0.25">
      <c r="A101">
        <v>100</v>
      </c>
    </row>
    <row r="102" spans="1:1" ht="15.75" customHeight="1" x14ac:dyDescent="0.25">
      <c r="A102">
        <v>101</v>
      </c>
    </row>
    <row r="103" spans="1:1" ht="15.75" customHeight="1" x14ac:dyDescent="0.25">
      <c r="A103">
        <v>102</v>
      </c>
    </row>
    <row r="104" spans="1:1" ht="15.75" customHeight="1" x14ac:dyDescent="0.25">
      <c r="A104">
        <v>103</v>
      </c>
    </row>
    <row r="105" spans="1:1" ht="15.75" customHeight="1" x14ac:dyDescent="0.25">
      <c r="A105">
        <v>104</v>
      </c>
    </row>
    <row r="106" spans="1:1" ht="15.75" customHeight="1" x14ac:dyDescent="0.25">
      <c r="A106">
        <v>105</v>
      </c>
    </row>
    <row r="107" spans="1:1" ht="15.75" customHeight="1" x14ac:dyDescent="0.25">
      <c r="A107">
        <v>106</v>
      </c>
    </row>
    <row r="108" spans="1:1" ht="15.75" customHeight="1" x14ac:dyDescent="0.25">
      <c r="A108">
        <v>107</v>
      </c>
    </row>
    <row r="109" spans="1:1" ht="15.75" customHeight="1" x14ac:dyDescent="0.25">
      <c r="A109">
        <v>108</v>
      </c>
    </row>
    <row r="110" spans="1:1" ht="15.75" customHeight="1" x14ac:dyDescent="0.25">
      <c r="A110">
        <v>109</v>
      </c>
    </row>
    <row r="111" spans="1:1" ht="15.75" customHeight="1" x14ac:dyDescent="0.25">
      <c r="A111">
        <v>110</v>
      </c>
    </row>
    <row r="112" spans="1:1" ht="15.75" customHeight="1" x14ac:dyDescent="0.25">
      <c r="A112">
        <v>111</v>
      </c>
    </row>
    <row r="113" spans="1:1" ht="15.75" customHeight="1" x14ac:dyDescent="0.25">
      <c r="A113">
        <v>112</v>
      </c>
    </row>
    <row r="114" spans="1:1" ht="15.75" customHeight="1" x14ac:dyDescent="0.25">
      <c r="A114">
        <v>113</v>
      </c>
    </row>
    <row r="115" spans="1:1" ht="15.75" customHeight="1" x14ac:dyDescent="0.25">
      <c r="A115">
        <v>114</v>
      </c>
    </row>
    <row r="116" spans="1:1" ht="15.75" customHeight="1" x14ac:dyDescent="0.25">
      <c r="A116">
        <v>115</v>
      </c>
    </row>
    <row r="117" spans="1:1" ht="15.75" customHeight="1" x14ac:dyDescent="0.25">
      <c r="A117">
        <v>116</v>
      </c>
    </row>
    <row r="118" spans="1:1" ht="15.75" customHeight="1" x14ac:dyDescent="0.25">
      <c r="A118">
        <v>117</v>
      </c>
    </row>
    <row r="119" spans="1:1" ht="15.75" customHeight="1" x14ac:dyDescent="0.25">
      <c r="A119">
        <v>118</v>
      </c>
    </row>
    <row r="120" spans="1:1" ht="15.75" customHeight="1" x14ac:dyDescent="0.25">
      <c r="A120">
        <v>119</v>
      </c>
    </row>
    <row r="121" spans="1:1" ht="15.75" customHeight="1" x14ac:dyDescent="0.25">
      <c r="A121">
        <v>120</v>
      </c>
    </row>
    <row r="122" spans="1:1" ht="15.75" customHeight="1" x14ac:dyDescent="0.25">
      <c r="A122">
        <v>121</v>
      </c>
    </row>
    <row r="123" spans="1:1" ht="15.75" customHeight="1" x14ac:dyDescent="0.25">
      <c r="A123">
        <v>122</v>
      </c>
    </row>
    <row r="124" spans="1:1" ht="15.75" customHeight="1" x14ac:dyDescent="0.25">
      <c r="A124">
        <v>123</v>
      </c>
    </row>
    <row r="125" spans="1:1" ht="15.75" customHeight="1" x14ac:dyDescent="0.25">
      <c r="A125">
        <v>124</v>
      </c>
    </row>
    <row r="126" spans="1:1" ht="15.75" customHeight="1" x14ac:dyDescent="0.25">
      <c r="A126">
        <v>125</v>
      </c>
    </row>
    <row r="127" spans="1:1" ht="15.75" customHeight="1" x14ac:dyDescent="0.25">
      <c r="A127">
        <v>126</v>
      </c>
    </row>
    <row r="128" spans="1:1" ht="15.75" customHeight="1" x14ac:dyDescent="0.25">
      <c r="A128">
        <v>127</v>
      </c>
    </row>
    <row r="129" spans="1:1" ht="15.75" customHeight="1" x14ac:dyDescent="0.25">
      <c r="A129">
        <v>128</v>
      </c>
    </row>
    <row r="130" spans="1:1" ht="15.75" customHeight="1" x14ac:dyDescent="0.25">
      <c r="A130">
        <v>129</v>
      </c>
    </row>
    <row r="131" spans="1:1" ht="15.75" customHeight="1" x14ac:dyDescent="0.25">
      <c r="A131">
        <v>130</v>
      </c>
    </row>
    <row r="132" spans="1:1" ht="15.75" customHeight="1" x14ac:dyDescent="0.25">
      <c r="A132">
        <v>131</v>
      </c>
    </row>
    <row r="133" spans="1:1" ht="15.75" customHeight="1" x14ac:dyDescent="0.25">
      <c r="A133">
        <v>132</v>
      </c>
    </row>
    <row r="134" spans="1:1" ht="15.75" customHeight="1" x14ac:dyDescent="0.25">
      <c r="A134">
        <v>133</v>
      </c>
    </row>
    <row r="135" spans="1:1" ht="15.75" customHeight="1" x14ac:dyDescent="0.25">
      <c r="A135">
        <v>134</v>
      </c>
    </row>
    <row r="136" spans="1:1" ht="15.75" customHeight="1" x14ac:dyDescent="0.25">
      <c r="A136">
        <v>135</v>
      </c>
    </row>
    <row r="137" spans="1:1" ht="15.75" customHeight="1" x14ac:dyDescent="0.25">
      <c r="A137">
        <v>136</v>
      </c>
    </row>
    <row r="138" spans="1:1" ht="15.75" customHeight="1" x14ac:dyDescent="0.25">
      <c r="A138">
        <v>137</v>
      </c>
    </row>
    <row r="139" spans="1:1" ht="15.75" customHeight="1" x14ac:dyDescent="0.25">
      <c r="A139">
        <v>138</v>
      </c>
    </row>
    <row r="140" spans="1:1" ht="15.75" customHeight="1" x14ac:dyDescent="0.25">
      <c r="A140">
        <v>139</v>
      </c>
    </row>
    <row r="141" spans="1:1" ht="15.75" customHeight="1" x14ac:dyDescent="0.25">
      <c r="A141">
        <v>140</v>
      </c>
    </row>
    <row r="142" spans="1:1" ht="15.75" customHeight="1" x14ac:dyDescent="0.25">
      <c r="A142">
        <v>141</v>
      </c>
    </row>
    <row r="143" spans="1:1" ht="15.75" customHeight="1" x14ac:dyDescent="0.25">
      <c r="A143">
        <v>142</v>
      </c>
    </row>
    <row r="144" spans="1:1" ht="15.75" customHeight="1" x14ac:dyDescent="0.25">
      <c r="A144">
        <v>143</v>
      </c>
    </row>
    <row r="145" spans="1:1" ht="15.75" customHeight="1" x14ac:dyDescent="0.25">
      <c r="A145">
        <v>144</v>
      </c>
    </row>
    <row r="146" spans="1:1" ht="15.75" customHeight="1" x14ac:dyDescent="0.25">
      <c r="A146">
        <v>145</v>
      </c>
    </row>
    <row r="147" spans="1:1" ht="15.75" customHeight="1" x14ac:dyDescent="0.25">
      <c r="A147">
        <v>146</v>
      </c>
    </row>
    <row r="148" spans="1:1" ht="15.75" customHeight="1" x14ac:dyDescent="0.25">
      <c r="A148">
        <v>147</v>
      </c>
    </row>
    <row r="149" spans="1:1" ht="15.75" customHeight="1" x14ac:dyDescent="0.25">
      <c r="A149">
        <v>148</v>
      </c>
    </row>
    <row r="150" spans="1:1" ht="15.75" customHeight="1" x14ac:dyDescent="0.25">
      <c r="A150">
        <v>149</v>
      </c>
    </row>
    <row r="151" spans="1:1" ht="15.75" customHeight="1" x14ac:dyDescent="0.25">
      <c r="A151">
        <v>150</v>
      </c>
    </row>
    <row r="152" spans="1:1" ht="15.75" customHeight="1" x14ac:dyDescent="0.25">
      <c r="A152">
        <v>151</v>
      </c>
    </row>
    <row r="153" spans="1:1" ht="15.75" customHeight="1" x14ac:dyDescent="0.25">
      <c r="A153">
        <v>152</v>
      </c>
    </row>
    <row r="154" spans="1:1" ht="15.75" customHeight="1" x14ac:dyDescent="0.25">
      <c r="A154">
        <v>153</v>
      </c>
    </row>
    <row r="155" spans="1:1" ht="15.75" customHeight="1" x14ac:dyDescent="0.25">
      <c r="A155">
        <v>154</v>
      </c>
    </row>
    <row r="156" spans="1:1" ht="15.75" customHeight="1" x14ac:dyDescent="0.25">
      <c r="A156">
        <v>155</v>
      </c>
    </row>
    <row r="157" spans="1:1" ht="15.75" customHeight="1" x14ac:dyDescent="0.25">
      <c r="A157">
        <v>156</v>
      </c>
    </row>
    <row r="158" spans="1:1" ht="15.75" customHeight="1" x14ac:dyDescent="0.25">
      <c r="A158">
        <v>157</v>
      </c>
    </row>
    <row r="159" spans="1:1" ht="15.75" customHeight="1" x14ac:dyDescent="0.25">
      <c r="A159">
        <v>158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71FF-5585-4312-95BA-F290FBB9D21E}">
  <sheetPr>
    <outlinePr summaryBelow="0" summaryRight="0"/>
  </sheetPr>
  <dimension ref="A1:O176"/>
  <sheetViews>
    <sheetView zoomScale="97" zoomScaleNormal="85" workbookViewId="0">
      <selection activeCell="C1" sqref="C1"/>
    </sheetView>
  </sheetViews>
  <sheetFormatPr defaultColWidth="12.54296875" defaultRowHeight="15.75" customHeight="1" x14ac:dyDescent="0.25"/>
  <cols>
    <col min="1" max="1" width="3" customWidth="1"/>
    <col min="2" max="2" width="3.81640625" bestFit="1" customWidth="1"/>
    <col min="3" max="3" width="73.1796875" customWidth="1"/>
    <col min="4" max="4" width="59.1796875" style="53" customWidth="1"/>
    <col min="5" max="5" width="6.81640625" bestFit="1" customWidth="1"/>
    <col min="6" max="6" width="35.26953125" customWidth="1"/>
    <col min="7" max="7" width="17.81640625" bestFit="1" customWidth="1"/>
    <col min="8" max="8" width="2.54296875" customWidth="1"/>
    <col min="9" max="9" width="2.26953125" customWidth="1"/>
    <col min="10" max="10" width="45.6328125" style="2" customWidth="1"/>
    <col min="11" max="11" width="24.1796875" customWidth="1"/>
    <col min="12" max="12" width="15.453125" bestFit="1" customWidth="1"/>
    <col min="13" max="13" width="12.54296875" style="8"/>
  </cols>
  <sheetData>
    <row r="1" spans="1:15" ht="15.75" customHeight="1" x14ac:dyDescent="0.25">
      <c r="B1" t="s">
        <v>163</v>
      </c>
      <c r="C1" s="1" t="s">
        <v>0</v>
      </c>
      <c r="D1" s="47" t="s">
        <v>1</v>
      </c>
      <c r="E1" s="1" t="s">
        <v>2</v>
      </c>
      <c r="F1" s="1" t="s">
        <v>3</v>
      </c>
      <c r="G1" s="1" t="s">
        <v>179</v>
      </c>
      <c r="H1" s="1" t="s">
        <v>263</v>
      </c>
      <c r="I1" s="1"/>
      <c r="J1" s="6" t="s">
        <v>397</v>
      </c>
      <c r="K1" s="1" t="s">
        <v>264</v>
      </c>
      <c r="L1" s="1" t="s">
        <v>265</v>
      </c>
      <c r="M1" s="7" t="s">
        <v>280</v>
      </c>
      <c r="N1" s="5" t="s">
        <v>283</v>
      </c>
      <c r="O1" s="5" t="s">
        <v>284</v>
      </c>
    </row>
    <row r="2" spans="1:15" ht="15.75" customHeight="1" x14ac:dyDescent="0.25">
      <c r="A2">
        <v>1</v>
      </c>
      <c r="B2">
        <v>1</v>
      </c>
      <c r="C2" s="1" t="s">
        <v>393</v>
      </c>
      <c r="D2" s="46" t="s">
        <v>394</v>
      </c>
      <c r="E2" s="1" t="s">
        <v>11</v>
      </c>
      <c r="F2" s="6" t="s">
        <v>395</v>
      </c>
      <c r="G2" s="1" t="s">
        <v>399</v>
      </c>
      <c r="J2" s="6" t="s">
        <v>396</v>
      </c>
      <c r="L2" s="5" t="s">
        <v>392</v>
      </c>
      <c r="M2" s="8">
        <f>COUNTA($B$2:B2)/175</f>
        <v>5.7142857142857143E-3</v>
      </c>
      <c r="N2" s="4"/>
      <c r="O2" s="9"/>
    </row>
    <row r="3" spans="1:15" ht="15.75" customHeight="1" x14ac:dyDescent="0.25">
      <c r="A3">
        <v>1</v>
      </c>
      <c r="B3">
        <v>2</v>
      </c>
      <c r="C3" s="6" t="s">
        <v>400</v>
      </c>
      <c r="D3" s="46" t="s">
        <v>401</v>
      </c>
      <c r="E3" s="1" t="s">
        <v>11</v>
      </c>
      <c r="F3" s="6" t="s">
        <v>402</v>
      </c>
      <c r="G3" s="1" t="s">
        <v>399</v>
      </c>
      <c r="J3" s="11" t="s">
        <v>398</v>
      </c>
      <c r="L3" s="5" t="s">
        <v>392</v>
      </c>
      <c r="M3" s="8">
        <f>COUNTA($B$2:B3)/175</f>
        <v>1.1428571428571429E-2</v>
      </c>
    </row>
    <row r="4" spans="1:15" ht="15.75" customHeight="1" x14ac:dyDescent="0.25">
      <c r="A4">
        <v>2</v>
      </c>
      <c r="B4">
        <v>3</v>
      </c>
      <c r="C4" s="1" t="s">
        <v>403</v>
      </c>
      <c r="D4" s="46" t="s">
        <v>404</v>
      </c>
      <c r="E4" s="1" t="s">
        <v>16</v>
      </c>
      <c r="F4" s="6" t="s">
        <v>405</v>
      </c>
      <c r="G4" s="1" t="s">
        <v>399</v>
      </c>
      <c r="J4" s="11" t="s">
        <v>398</v>
      </c>
      <c r="L4" s="5" t="s">
        <v>392</v>
      </c>
      <c r="M4" s="8">
        <f>COUNTA($B$2:B4)/175</f>
        <v>1.7142857142857144E-2</v>
      </c>
    </row>
    <row r="5" spans="1:15" ht="15.75" customHeight="1" x14ac:dyDescent="0.3">
      <c r="A5">
        <v>3</v>
      </c>
      <c r="B5">
        <v>4</v>
      </c>
      <c r="C5" s="22" t="s">
        <v>406</v>
      </c>
      <c r="D5" s="46" t="s">
        <v>407</v>
      </c>
      <c r="E5" s="1" t="s">
        <v>16</v>
      </c>
      <c r="F5" s="6" t="s">
        <v>408</v>
      </c>
      <c r="G5" s="1" t="s">
        <v>399</v>
      </c>
      <c r="H5" s="6"/>
      <c r="I5" s="23" t="s">
        <v>289</v>
      </c>
      <c r="J5" s="11" t="s">
        <v>398</v>
      </c>
      <c r="K5" s="17" t="s">
        <v>542</v>
      </c>
      <c r="L5" s="5" t="s">
        <v>392</v>
      </c>
      <c r="M5" s="8">
        <f>COUNTA($B$2:B5)/175</f>
        <v>2.2857142857142857E-2</v>
      </c>
    </row>
    <row r="6" spans="1:15" ht="15.75" customHeight="1" x14ac:dyDescent="0.25">
      <c r="A6">
        <v>4</v>
      </c>
      <c r="B6">
        <v>5</v>
      </c>
      <c r="C6" s="6" t="s">
        <v>409</v>
      </c>
      <c r="D6" s="46" t="s">
        <v>410</v>
      </c>
      <c r="E6" s="1" t="s">
        <v>8</v>
      </c>
      <c r="F6" s="2" t="s">
        <v>411</v>
      </c>
      <c r="G6" s="1" t="s">
        <v>214</v>
      </c>
      <c r="J6" s="11" t="s">
        <v>398</v>
      </c>
      <c r="L6" s="5" t="s">
        <v>392</v>
      </c>
      <c r="M6" s="8">
        <f>COUNTA($B$2:B6)/175</f>
        <v>2.8571428571428571E-2</v>
      </c>
    </row>
    <row r="7" spans="1:15" ht="15.75" customHeight="1" x14ac:dyDescent="0.25">
      <c r="A7">
        <v>5</v>
      </c>
      <c r="B7">
        <v>6</v>
      </c>
      <c r="C7" s="1" t="s">
        <v>412</v>
      </c>
      <c r="D7" s="46" t="s">
        <v>413</v>
      </c>
      <c r="E7" s="1" t="s">
        <v>8</v>
      </c>
      <c r="F7" s="6" t="s">
        <v>414</v>
      </c>
      <c r="G7" s="1" t="s">
        <v>214</v>
      </c>
      <c r="J7" s="11" t="s">
        <v>398</v>
      </c>
      <c r="L7" s="5" t="s">
        <v>392</v>
      </c>
      <c r="M7" s="8">
        <f>COUNTA($B$2:B7)/175</f>
        <v>3.4285714285714287E-2</v>
      </c>
    </row>
    <row r="8" spans="1:15" ht="15.75" customHeight="1" x14ac:dyDescent="0.25">
      <c r="A8">
        <v>6</v>
      </c>
      <c r="B8">
        <v>7</v>
      </c>
      <c r="C8" s="6" t="s">
        <v>416</v>
      </c>
      <c r="D8" s="46" t="s">
        <v>417</v>
      </c>
      <c r="E8" s="1" t="s">
        <v>11</v>
      </c>
      <c r="F8" s="6" t="s">
        <v>418</v>
      </c>
      <c r="G8" s="1" t="s">
        <v>415</v>
      </c>
      <c r="H8" t="s">
        <v>289</v>
      </c>
      <c r="J8" s="11" t="s">
        <v>398</v>
      </c>
      <c r="L8" s="5" t="s">
        <v>392</v>
      </c>
      <c r="M8" s="8">
        <f>COUNTA($B$2:B8)/175</f>
        <v>0.04</v>
      </c>
    </row>
    <row r="9" spans="1:15" ht="15.75" customHeight="1" x14ac:dyDescent="0.25">
      <c r="A9">
        <v>7</v>
      </c>
      <c r="B9">
        <v>8</v>
      </c>
      <c r="C9" s="6" t="s">
        <v>419</v>
      </c>
      <c r="D9" s="46" t="s">
        <v>420</v>
      </c>
      <c r="E9" s="1" t="s">
        <v>16</v>
      </c>
      <c r="F9" s="6" t="s">
        <v>421</v>
      </c>
      <c r="G9" s="1" t="s">
        <v>415</v>
      </c>
      <c r="J9" s="11" t="s">
        <v>398</v>
      </c>
      <c r="L9" s="5" t="s">
        <v>392</v>
      </c>
      <c r="M9" s="8">
        <f>COUNTA($B$2:B9)/175</f>
        <v>4.5714285714285714E-2</v>
      </c>
    </row>
    <row r="10" spans="1:15" ht="15.75" customHeight="1" x14ac:dyDescent="0.25">
      <c r="A10">
        <v>8</v>
      </c>
      <c r="B10">
        <v>9</v>
      </c>
      <c r="C10" s="1" t="s">
        <v>423</v>
      </c>
      <c r="D10" s="46" t="s">
        <v>424</v>
      </c>
      <c r="E10" s="1" t="s">
        <v>422</v>
      </c>
      <c r="F10" s="6" t="s">
        <v>425</v>
      </c>
      <c r="G10" s="1" t="s">
        <v>415</v>
      </c>
      <c r="H10" t="s">
        <v>289</v>
      </c>
      <c r="J10" s="11" t="s">
        <v>398</v>
      </c>
      <c r="L10" s="5" t="s">
        <v>392</v>
      </c>
      <c r="M10" s="8">
        <f>COUNTA($B$2:B10)/175</f>
        <v>5.1428571428571428E-2</v>
      </c>
    </row>
    <row r="11" spans="1:15" ht="15.75" customHeight="1" x14ac:dyDescent="0.25">
      <c r="A11">
        <v>9</v>
      </c>
      <c r="B11">
        <v>10</v>
      </c>
      <c r="C11" s="6" t="s">
        <v>426</v>
      </c>
      <c r="D11" s="46" t="s">
        <v>427</v>
      </c>
      <c r="E11" s="1" t="s">
        <v>5</v>
      </c>
      <c r="F11" s="6" t="s">
        <v>428</v>
      </c>
      <c r="G11" s="1" t="s">
        <v>399</v>
      </c>
      <c r="J11" s="11" t="s">
        <v>398</v>
      </c>
      <c r="L11" s="5" t="s">
        <v>392</v>
      </c>
      <c r="M11" s="8">
        <f>COUNTA($B$2:B11)/175</f>
        <v>5.7142857142857141E-2</v>
      </c>
    </row>
    <row r="12" spans="1:15" ht="15.75" customHeight="1" x14ac:dyDescent="0.25">
      <c r="A12">
        <v>10</v>
      </c>
      <c r="B12">
        <v>11</v>
      </c>
      <c r="C12" s="6" t="s">
        <v>429</v>
      </c>
      <c r="D12" s="46" t="s">
        <v>430</v>
      </c>
      <c r="E12" s="1" t="s">
        <v>8</v>
      </c>
      <c r="F12" s="6" t="s">
        <v>431</v>
      </c>
      <c r="G12" s="1" t="s">
        <v>399</v>
      </c>
      <c r="J12" s="11" t="s">
        <v>398</v>
      </c>
      <c r="L12" s="5" t="s">
        <v>392</v>
      </c>
      <c r="M12" s="8">
        <f>COUNTA($B$2:B12)/175</f>
        <v>6.2857142857142861E-2</v>
      </c>
    </row>
    <row r="13" spans="1:15" ht="15.75" customHeight="1" x14ac:dyDescent="0.25">
      <c r="A13">
        <v>11</v>
      </c>
      <c r="B13">
        <v>12</v>
      </c>
      <c r="C13" s="6" t="s">
        <v>432</v>
      </c>
      <c r="D13" s="46" t="s">
        <v>433</v>
      </c>
      <c r="E13" s="1" t="s">
        <v>5</v>
      </c>
      <c r="F13" s="6" t="s">
        <v>434</v>
      </c>
      <c r="G13" s="1" t="s">
        <v>415</v>
      </c>
      <c r="H13" s="5" t="s">
        <v>289</v>
      </c>
      <c r="I13" s="5"/>
      <c r="J13" s="11" t="s">
        <v>398</v>
      </c>
      <c r="K13" s="1"/>
      <c r="L13" s="5" t="s">
        <v>392</v>
      </c>
      <c r="M13" s="8">
        <f>COUNTA($B$2:B13)/175</f>
        <v>6.8571428571428575E-2</v>
      </c>
    </row>
    <row r="14" spans="1:15" ht="15.75" customHeight="1" x14ac:dyDescent="0.25">
      <c r="A14">
        <v>12</v>
      </c>
      <c r="B14">
        <v>13</v>
      </c>
      <c r="C14" t="s">
        <v>437</v>
      </c>
      <c r="D14" s="46" t="s">
        <v>436</v>
      </c>
      <c r="E14" s="1" t="s">
        <v>5</v>
      </c>
      <c r="F14" s="6" t="s">
        <v>435</v>
      </c>
      <c r="G14" s="1" t="s">
        <v>214</v>
      </c>
      <c r="H14" s="5"/>
      <c r="I14" s="5"/>
      <c r="J14" s="11" t="s">
        <v>398</v>
      </c>
      <c r="L14" s="5" t="s">
        <v>392</v>
      </c>
      <c r="M14" s="8">
        <f>COUNTA($B$2:B14)/175</f>
        <v>7.4285714285714288E-2</v>
      </c>
    </row>
    <row r="15" spans="1:15" ht="15.75" customHeight="1" x14ac:dyDescent="0.3">
      <c r="A15">
        <v>10</v>
      </c>
      <c r="B15" s="4">
        <v>15</v>
      </c>
      <c r="C15" s="25" t="s">
        <v>563</v>
      </c>
      <c r="D15" s="48" t="s">
        <v>564</v>
      </c>
      <c r="E15" s="25" t="s">
        <v>8</v>
      </c>
      <c r="F15" s="25" t="s">
        <v>565</v>
      </c>
      <c r="G15" s="25" t="s">
        <v>470</v>
      </c>
      <c r="J15" s="11" t="s">
        <v>440</v>
      </c>
      <c r="L15" s="5" t="s">
        <v>392</v>
      </c>
      <c r="M15" s="8">
        <f>COUNTA($B$2:B14)/175</f>
        <v>7.4285714285714288E-2</v>
      </c>
    </row>
    <row r="16" spans="1:15" ht="15.75" customHeight="1" x14ac:dyDescent="0.3">
      <c r="A16">
        <v>9</v>
      </c>
      <c r="B16">
        <v>16</v>
      </c>
      <c r="C16" s="26" t="s">
        <v>446</v>
      </c>
      <c r="D16" s="48" t="s">
        <v>447</v>
      </c>
      <c r="E16" s="26" t="s">
        <v>5</v>
      </c>
      <c r="F16" s="26" t="s">
        <v>566</v>
      </c>
      <c r="G16" s="26" t="s">
        <v>466</v>
      </c>
      <c r="J16" s="11" t="s">
        <v>440</v>
      </c>
      <c r="L16" s="5" t="s">
        <v>392</v>
      </c>
      <c r="M16" s="8">
        <f>COUNTA($B$2:B15)/175</f>
        <v>0.08</v>
      </c>
    </row>
    <row r="17" spans="1:13" ht="15.75" customHeight="1" x14ac:dyDescent="0.3">
      <c r="A17">
        <v>8</v>
      </c>
      <c r="B17">
        <v>17</v>
      </c>
      <c r="C17" s="24" t="s">
        <v>567</v>
      </c>
      <c r="D17" s="48" t="s">
        <v>445</v>
      </c>
      <c r="E17" s="26" t="s">
        <v>8</v>
      </c>
      <c r="F17" s="26" t="s">
        <v>568</v>
      </c>
      <c r="G17" s="26" t="s">
        <v>470</v>
      </c>
      <c r="I17" s="23" t="s">
        <v>289</v>
      </c>
      <c r="J17" s="11" t="s">
        <v>440</v>
      </c>
      <c r="L17" s="5" t="s">
        <v>392</v>
      </c>
      <c r="M17" s="8">
        <f>COUNTA($B$2:B16)/175</f>
        <v>8.5714285714285715E-2</v>
      </c>
    </row>
    <row r="18" spans="1:13" ht="15.75" customHeight="1" x14ac:dyDescent="0.3">
      <c r="A18">
        <v>7</v>
      </c>
      <c r="B18">
        <v>18</v>
      </c>
      <c r="C18" s="27" t="s">
        <v>442</v>
      </c>
      <c r="D18" s="48" t="s">
        <v>443</v>
      </c>
      <c r="E18" s="27" t="s">
        <v>5</v>
      </c>
      <c r="F18" s="27" t="s">
        <v>569</v>
      </c>
      <c r="G18" s="27" t="s">
        <v>462</v>
      </c>
      <c r="I18" s="2"/>
      <c r="J18" s="11" t="s">
        <v>440</v>
      </c>
      <c r="K18" t="s">
        <v>438</v>
      </c>
      <c r="L18" s="5" t="s">
        <v>392</v>
      </c>
      <c r="M18" s="8">
        <f>COUNTA($B$2:B17)/175</f>
        <v>9.1428571428571428E-2</v>
      </c>
    </row>
    <row r="19" spans="1:13" ht="15.75" customHeight="1" x14ac:dyDescent="0.3">
      <c r="A19">
        <v>6</v>
      </c>
      <c r="B19">
        <v>19</v>
      </c>
      <c r="C19" s="28" t="s">
        <v>574</v>
      </c>
      <c r="D19" s="48" t="s">
        <v>448</v>
      </c>
      <c r="E19" s="28" t="s">
        <v>8</v>
      </c>
      <c r="F19" s="28" t="s">
        <v>575</v>
      </c>
      <c r="G19" s="28" t="s">
        <v>470</v>
      </c>
      <c r="J19" s="11" t="s">
        <v>440</v>
      </c>
      <c r="L19" s="5" t="s">
        <v>392</v>
      </c>
      <c r="M19" s="8">
        <f>COUNTA($B$2:B18)/175</f>
        <v>9.7142857142857142E-2</v>
      </c>
    </row>
    <row r="20" spans="1:13" ht="15.75" customHeight="1" x14ac:dyDescent="0.3">
      <c r="A20">
        <v>5</v>
      </c>
      <c r="B20">
        <v>20</v>
      </c>
      <c r="C20" s="27" t="s">
        <v>449</v>
      </c>
      <c r="D20" s="48" t="s">
        <v>450</v>
      </c>
      <c r="E20" s="27" t="s">
        <v>11</v>
      </c>
      <c r="F20" s="27" t="s">
        <v>570</v>
      </c>
      <c r="G20" s="27" t="s">
        <v>462</v>
      </c>
      <c r="I20" s="2"/>
      <c r="J20" s="11" t="s">
        <v>440</v>
      </c>
      <c r="K20" t="s">
        <v>441</v>
      </c>
      <c r="L20" s="5" t="s">
        <v>392</v>
      </c>
      <c r="M20" s="8">
        <f>COUNTA($B$2:B19)/175</f>
        <v>0.10285714285714286</v>
      </c>
    </row>
    <row r="21" spans="1:13" ht="15.75" customHeight="1" x14ac:dyDescent="0.3">
      <c r="A21">
        <v>4</v>
      </c>
      <c r="B21">
        <v>21</v>
      </c>
      <c r="C21" s="27" t="s">
        <v>571</v>
      </c>
      <c r="D21" s="48" t="s">
        <v>572</v>
      </c>
      <c r="E21" s="27" t="s">
        <v>8</v>
      </c>
      <c r="F21" s="27" t="s">
        <v>573</v>
      </c>
      <c r="G21" s="27" t="s">
        <v>466</v>
      </c>
      <c r="J21" s="11" t="s">
        <v>440</v>
      </c>
      <c r="L21" s="5" t="s">
        <v>392</v>
      </c>
      <c r="M21" s="8">
        <f>COUNTA($B$2:B20)/175</f>
        <v>0.10857142857142857</v>
      </c>
    </row>
    <row r="22" spans="1:13" ht="15.75" customHeight="1" x14ac:dyDescent="0.3">
      <c r="A22">
        <v>3</v>
      </c>
      <c r="B22">
        <v>22</v>
      </c>
      <c r="C22" s="24" t="s">
        <v>576</v>
      </c>
      <c r="D22" s="48" t="s">
        <v>577</v>
      </c>
      <c r="E22" s="29" t="s">
        <v>11</v>
      </c>
      <c r="F22" s="29" t="s">
        <v>578</v>
      </c>
      <c r="G22" s="29" t="s">
        <v>470</v>
      </c>
      <c r="I22" s="23" t="s">
        <v>289</v>
      </c>
      <c r="J22" s="11" t="s">
        <v>440</v>
      </c>
      <c r="L22" s="5" t="s">
        <v>392</v>
      </c>
      <c r="M22" s="8">
        <f>COUNTA($B$2:B21)/175</f>
        <v>0.11428571428571428</v>
      </c>
    </row>
    <row r="23" spans="1:13" ht="15.75" customHeight="1" x14ac:dyDescent="0.3">
      <c r="A23">
        <v>2</v>
      </c>
      <c r="B23">
        <v>23</v>
      </c>
      <c r="C23" s="29" t="s">
        <v>579</v>
      </c>
      <c r="D23" s="48" t="s">
        <v>444</v>
      </c>
      <c r="E23" s="29" t="s">
        <v>11</v>
      </c>
      <c r="F23" s="29" t="s">
        <v>580</v>
      </c>
      <c r="G23" s="29" t="s">
        <v>462</v>
      </c>
      <c r="J23" s="11" t="s">
        <v>440</v>
      </c>
      <c r="L23" s="5" t="s">
        <v>392</v>
      </c>
      <c r="M23" s="8">
        <f>COUNTA($B$2:B22)/175</f>
        <v>0.12</v>
      </c>
    </row>
    <row r="24" spans="1:13" ht="15.75" customHeight="1" x14ac:dyDescent="0.3">
      <c r="A24">
        <v>1</v>
      </c>
      <c r="B24">
        <v>24</v>
      </c>
      <c r="C24" s="29" t="s">
        <v>581</v>
      </c>
      <c r="D24" s="48" t="s">
        <v>582</v>
      </c>
      <c r="E24" s="29" t="s">
        <v>8</v>
      </c>
      <c r="F24" s="29" t="s">
        <v>583</v>
      </c>
      <c r="G24" s="29" t="s">
        <v>462</v>
      </c>
      <c r="J24" s="11" t="s">
        <v>440</v>
      </c>
      <c r="L24" s="5" t="s">
        <v>392</v>
      </c>
      <c r="M24" s="8">
        <f>COUNTA($B$2:B23)/175</f>
        <v>0.12571428571428572</v>
      </c>
    </row>
    <row r="25" spans="1:13" ht="15.75" customHeight="1" x14ac:dyDescent="0.3">
      <c r="A25">
        <v>1</v>
      </c>
      <c r="B25">
        <v>25</v>
      </c>
      <c r="C25" s="31" t="s">
        <v>585</v>
      </c>
      <c r="D25" s="48" t="s">
        <v>586</v>
      </c>
      <c r="E25" s="31" t="s">
        <v>11</v>
      </c>
      <c r="F25" s="31" t="s">
        <v>587</v>
      </c>
      <c r="G25" s="31" t="s">
        <v>462</v>
      </c>
      <c r="I25" s="31"/>
      <c r="J25" s="2" t="s">
        <v>584</v>
      </c>
      <c r="M25" s="8">
        <f>COUNTA($B$2:B24)/175</f>
        <v>0.13142857142857142</v>
      </c>
    </row>
    <row r="26" spans="1:13" ht="15.75" customHeight="1" x14ac:dyDescent="0.3">
      <c r="A26">
        <v>2</v>
      </c>
      <c r="B26">
        <v>26</v>
      </c>
      <c r="C26" s="31" t="s">
        <v>588</v>
      </c>
      <c r="D26" s="48" t="s">
        <v>589</v>
      </c>
      <c r="E26" s="31" t="s">
        <v>11</v>
      </c>
      <c r="F26" s="31" t="s">
        <v>590</v>
      </c>
      <c r="G26" s="31" t="s">
        <v>462</v>
      </c>
      <c r="I26" s="31"/>
      <c r="J26" s="2" t="s">
        <v>584</v>
      </c>
      <c r="M26" s="8">
        <f>COUNTA($B$2:B24)/175</f>
        <v>0.13142857142857142</v>
      </c>
    </row>
    <row r="27" spans="1:13" ht="15.75" customHeight="1" x14ac:dyDescent="0.3">
      <c r="A27">
        <v>3</v>
      </c>
      <c r="B27">
        <v>27</v>
      </c>
      <c r="C27" s="31" t="s">
        <v>591</v>
      </c>
      <c r="D27" s="48" t="s">
        <v>592</v>
      </c>
      <c r="E27" s="31" t="s">
        <v>593</v>
      </c>
      <c r="F27" s="31" t="s">
        <v>594</v>
      </c>
      <c r="G27" s="31" t="s">
        <v>470</v>
      </c>
      <c r="I27" s="31"/>
      <c r="J27" s="2" t="s">
        <v>584</v>
      </c>
      <c r="M27" s="8">
        <f>COUNTA($B$2:B24)/175</f>
        <v>0.13142857142857142</v>
      </c>
    </row>
    <row r="28" spans="1:13" ht="15.75" customHeight="1" x14ac:dyDescent="0.3">
      <c r="A28">
        <v>4</v>
      </c>
      <c r="B28">
        <v>28</v>
      </c>
      <c r="C28" s="31" t="s">
        <v>595</v>
      </c>
      <c r="D28" s="48" t="s">
        <v>596</v>
      </c>
      <c r="E28" s="31" t="s">
        <v>11</v>
      </c>
      <c r="F28" s="31" t="s">
        <v>597</v>
      </c>
      <c r="G28" s="31" t="s">
        <v>470</v>
      </c>
      <c r="I28" s="31"/>
      <c r="J28" s="2" t="s">
        <v>584</v>
      </c>
      <c r="M28" s="8">
        <f>COUNTA($B$2:B24)/175</f>
        <v>0.13142857142857142</v>
      </c>
    </row>
    <row r="29" spans="1:13" ht="15.75" customHeight="1" x14ac:dyDescent="0.3">
      <c r="A29">
        <v>5</v>
      </c>
      <c r="B29">
        <v>29</v>
      </c>
      <c r="C29" s="31" t="s">
        <v>598</v>
      </c>
      <c r="D29" s="48" t="s">
        <v>599</v>
      </c>
      <c r="E29" s="31" t="s">
        <v>8</v>
      </c>
      <c r="F29" s="31" t="s">
        <v>600</v>
      </c>
      <c r="G29" s="31" t="s">
        <v>466</v>
      </c>
      <c r="I29" s="31"/>
      <c r="J29" s="2" t="s">
        <v>584</v>
      </c>
      <c r="M29" s="8">
        <f>COUNTA($B$2:B24)/175</f>
        <v>0.13142857142857142</v>
      </c>
    </row>
    <row r="30" spans="1:13" ht="15.75" customHeight="1" x14ac:dyDescent="0.3">
      <c r="A30">
        <v>6</v>
      </c>
      <c r="B30">
        <v>30</v>
      </c>
      <c r="C30" s="31" t="s">
        <v>601</v>
      </c>
      <c r="D30" s="48" t="s">
        <v>602</v>
      </c>
      <c r="E30" s="31" t="s">
        <v>5</v>
      </c>
      <c r="F30" s="31" t="s">
        <v>603</v>
      </c>
      <c r="G30" s="31" t="s">
        <v>470</v>
      </c>
      <c r="I30" s="31"/>
      <c r="J30" s="2" t="s">
        <v>584</v>
      </c>
      <c r="M30" s="8">
        <f>COUNTA($B$2:B24)/175</f>
        <v>0.13142857142857142</v>
      </c>
    </row>
    <row r="31" spans="1:13" ht="15.75" customHeight="1" x14ac:dyDescent="0.3">
      <c r="A31">
        <v>7</v>
      </c>
      <c r="B31">
        <v>31</v>
      </c>
      <c r="C31" s="31" t="s">
        <v>604</v>
      </c>
      <c r="D31" s="48" t="s">
        <v>605</v>
      </c>
      <c r="E31" s="31" t="s">
        <v>11</v>
      </c>
      <c r="F31" s="31" t="s">
        <v>606</v>
      </c>
      <c r="G31" s="31" t="s">
        <v>466</v>
      </c>
      <c r="I31" s="31"/>
      <c r="J31" s="2" t="s">
        <v>584</v>
      </c>
      <c r="M31" s="8">
        <f>COUNTA($B$2:B24)/175</f>
        <v>0.13142857142857142</v>
      </c>
    </row>
    <row r="32" spans="1:13" ht="15.75" customHeight="1" x14ac:dyDescent="0.3">
      <c r="A32">
        <v>8</v>
      </c>
      <c r="B32">
        <v>32</v>
      </c>
      <c r="C32" s="31" t="s">
        <v>607</v>
      </c>
      <c r="D32" s="48" t="s">
        <v>608</v>
      </c>
      <c r="E32" s="31" t="s">
        <v>5</v>
      </c>
      <c r="F32" s="31" t="s">
        <v>609</v>
      </c>
      <c r="G32" s="31" t="s">
        <v>470</v>
      </c>
      <c r="I32" s="23" t="s">
        <v>289</v>
      </c>
      <c r="J32" s="2" t="s">
        <v>584</v>
      </c>
      <c r="M32" s="8">
        <f>COUNTA($B$2:B24)/175</f>
        <v>0.13142857142857142</v>
      </c>
    </row>
    <row r="33" spans="1:15" ht="15.75" customHeight="1" x14ac:dyDescent="0.3">
      <c r="A33">
        <v>9</v>
      </c>
      <c r="B33">
        <v>33</v>
      </c>
      <c r="C33" s="31" t="s">
        <v>610</v>
      </c>
      <c r="D33" s="48" t="s">
        <v>611</v>
      </c>
      <c r="E33" s="31" t="s">
        <v>5</v>
      </c>
      <c r="F33" s="31" t="s">
        <v>612</v>
      </c>
      <c r="G33" s="31" t="s">
        <v>466</v>
      </c>
      <c r="J33" s="2" t="s">
        <v>584</v>
      </c>
      <c r="M33" s="8">
        <f>COUNTA($B$2:B24)/175</f>
        <v>0.13142857142857142</v>
      </c>
    </row>
    <row r="34" spans="1:15" ht="15.75" customHeight="1" x14ac:dyDescent="0.3">
      <c r="A34">
        <v>10</v>
      </c>
      <c r="B34">
        <v>34</v>
      </c>
      <c r="C34" s="31" t="s">
        <v>613</v>
      </c>
      <c r="D34" s="48" t="s">
        <v>614</v>
      </c>
      <c r="E34" s="31" t="s">
        <v>5</v>
      </c>
      <c r="F34" s="31" t="s">
        <v>615</v>
      </c>
      <c r="G34" s="31" t="s">
        <v>466</v>
      </c>
      <c r="J34" s="2" t="s">
        <v>584</v>
      </c>
      <c r="M34" s="8">
        <f>COUNTA($B$2:B24)/175</f>
        <v>0.13142857142857142</v>
      </c>
    </row>
    <row r="35" spans="1:15" ht="15.75" customHeight="1" x14ac:dyDescent="0.3">
      <c r="A35">
        <v>1</v>
      </c>
      <c r="B35">
        <v>35</v>
      </c>
      <c r="C35" s="31" t="s">
        <v>616</v>
      </c>
      <c r="D35" s="48" t="s">
        <v>617</v>
      </c>
      <c r="E35" s="31" t="s">
        <v>16</v>
      </c>
      <c r="F35" s="31" t="s">
        <v>618</v>
      </c>
      <c r="G35" s="31" t="s">
        <v>462</v>
      </c>
      <c r="J35" s="2" t="s">
        <v>584</v>
      </c>
      <c r="L35" s="5" t="s">
        <v>392</v>
      </c>
      <c r="M35" s="8">
        <f>COUNTA($B$2:B24)/175</f>
        <v>0.13142857142857142</v>
      </c>
    </row>
    <row r="36" spans="1:15" ht="15.75" customHeight="1" x14ac:dyDescent="0.25">
      <c r="A36">
        <v>2</v>
      </c>
      <c r="B36">
        <v>36</v>
      </c>
      <c r="C36" s="12" t="s">
        <v>585</v>
      </c>
      <c r="D36" s="49" t="s">
        <v>586</v>
      </c>
      <c r="E36" s="12" t="s">
        <v>11</v>
      </c>
      <c r="F36" s="12" t="s">
        <v>621</v>
      </c>
      <c r="G36" s="12" t="s">
        <v>462</v>
      </c>
      <c r="J36" s="3" t="s">
        <v>620</v>
      </c>
      <c r="L36" s="5" t="s">
        <v>392</v>
      </c>
      <c r="M36" s="8">
        <f>COUNTA($B$2:B24)/175</f>
        <v>0.13142857142857142</v>
      </c>
    </row>
    <row r="37" spans="1:15" ht="15.75" customHeight="1" x14ac:dyDescent="0.25">
      <c r="A37">
        <v>3</v>
      </c>
      <c r="B37">
        <v>37</v>
      </c>
      <c r="C37" s="12" t="s">
        <v>588</v>
      </c>
      <c r="D37" s="49" t="s">
        <v>622</v>
      </c>
      <c r="E37" s="12" t="s">
        <v>11</v>
      </c>
      <c r="F37" s="12" t="s">
        <v>623</v>
      </c>
      <c r="G37" s="12" t="s">
        <v>462</v>
      </c>
      <c r="J37" s="3" t="s">
        <v>620</v>
      </c>
      <c r="L37" s="5" t="s">
        <v>392</v>
      </c>
      <c r="M37" s="8">
        <f>COUNTA($B$2:B24)/175</f>
        <v>0.13142857142857142</v>
      </c>
      <c r="N37" s="4"/>
    </row>
    <row r="38" spans="1:15" ht="15.75" customHeight="1" x14ac:dyDescent="0.25">
      <c r="A38">
        <v>4</v>
      </c>
      <c r="B38">
        <v>38</v>
      </c>
      <c r="C38" s="12" t="s">
        <v>624</v>
      </c>
      <c r="D38" s="49" t="s">
        <v>625</v>
      </c>
      <c r="E38" s="12" t="s">
        <v>593</v>
      </c>
      <c r="F38" s="12" t="s">
        <v>626</v>
      </c>
      <c r="G38" s="12" t="s">
        <v>470</v>
      </c>
      <c r="J38" s="3" t="s">
        <v>620</v>
      </c>
      <c r="L38" s="5" t="s">
        <v>392</v>
      </c>
      <c r="M38" s="8">
        <f>COUNTA($B$2:B24)/175</f>
        <v>0.13142857142857142</v>
      </c>
    </row>
    <row r="39" spans="1:15" ht="15.75" customHeight="1" x14ac:dyDescent="0.25">
      <c r="A39">
        <v>5</v>
      </c>
      <c r="B39">
        <v>39</v>
      </c>
      <c r="C39" s="12" t="s">
        <v>627</v>
      </c>
      <c r="D39" s="49" t="s">
        <v>628</v>
      </c>
      <c r="E39" s="12" t="s">
        <v>11</v>
      </c>
      <c r="F39" s="12" t="s">
        <v>629</v>
      </c>
      <c r="G39" s="12" t="s">
        <v>470</v>
      </c>
      <c r="J39" s="3" t="s">
        <v>620</v>
      </c>
      <c r="L39" s="5" t="s">
        <v>392</v>
      </c>
      <c r="M39" s="8">
        <f>COUNTA($B$2:B24)/175</f>
        <v>0.13142857142857142</v>
      </c>
    </row>
    <row r="40" spans="1:15" ht="15.75" customHeight="1" x14ac:dyDescent="0.25">
      <c r="A40">
        <v>6</v>
      </c>
      <c r="B40">
        <v>40</v>
      </c>
      <c r="C40" s="12" t="s">
        <v>630</v>
      </c>
      <c r="D40" s="49" t="s">
        <v>631</v>
      </c>
      <c r="E40" s="12" t="s">
        <v>8</v>
      </c>
      <c r="F40" s="12" t="s">
        <v>632</v>
      </c>
      <c r="G40" s="12" t="s">
        <v>466</v>
      </c>
      <c r="J40" s="3" t="s">
        <v>620</v>
      </c>
      <c r="L40" s="5" t="s">
        <v>392</v>
      </c>
      <c r="M40" s="8">
        <f>COUNTA($B$2:B24)/175</f>
        <v>0.13142857142857142</v>
      </c>
    </row>
    <row r="41" spans="1:15" ht="15.75" customHeight="1" x14ac:dyDescent="0.25">
      <c r="A41">
        <v>7</v>
      </c>
      <c r="B41">
        <v>41</v>
      </c>
      <c r="C41" s="12" t="s">
        <v>633</v>
      </c>
      <c r="D41" s="49" t="s">
        <v>634</v>
      </c>
      <c r="E41" s="12" t="s">
        <v>5</v>
      </c>
      <c r="F41" s="12" t="s">
        <v>635</v>
      </c>
      <c r="G41" s="12" t="s">
        <v>470</v>
      </c>
      <c r="J41" s="3" t="s">
        <v>620</v>
      </c>
      <c r="L41" s="5" t="s">
        <v>392</v>
      </c>
      <c r="M41" s="8">
        <f>COUNTA($B$2:B24)/175</f>
        <v>0.13142857142857142</v>
      </c>
    </row>
    <row r="42" spans="1:15" ht="15.75" customHeight="1" x14ac:dyDescent="0.25">
      <c r="A42">
        <v>8</v>
      </c>
      <c r="B42">
        <v>42</v>
      </c>
      <c r="C42" s="12" t="s">
        <v>636</v>
      </c>
      <c r="D42" s="49" t="s">
        <v>637</v>
      </c>
      <c r="E42" s="12" t="s">
        <v>11</v>
      </c>
      <c r="F42" s="12" t="s">
        <v>638</v>
      </c>
      <c r="G42" s="12" t="s">
        <v>466</v>
      </c>
      <c r="J42" s="3" t="s">
        <v>620</v>
      </c>
      <c r="L42" s="5" t="s">
        <v>392</v>
      </c>
      <c r="M42" s="8">
        <f>COUNTA($B$2:B24)/175</f>
        <v>0.13142857142857142</v>
      </c>
    </row>
    <row r="43" spans="1:15" ht="15.75" customHeight="1" x14ac:dyDescent="0.3">
      <c r="A43">
        <v>9</v>
      </c>
      <c r="B43">
        <v>43</v>
      </c>
      <c r="C43" s="12" t="s">
        <v>639</v>
      </c>
      <c r="D43" s="49" t="s">
        <v>640</v>
      </c>
      <c r="E43" s="12" t="s">
        <v>5</v>
      </c>
      <c r="F43" s="12" t="s">
        <v>641</v>
      </c>
      <c r="G43" s="12" t="s">
        <v>470</v>
      </c>
      <c r="I43" s="23" t="s">
        <v>289</v>
      </c>
      <c r="J43" s="3" t="s">
        <v>620</v>
      </c>
      <c r="L43" s="5" t="s">
        <v>392</v>
      </c>
      <c r="M43" s="8">
        <f>COUNTA($B$2:B24)/175</f>
        <v>0.13142857142857142</v>
      </c>
      <c r="O43" s="9"/>
    </row>
    <row r="44" spans="1:15" ht="15.75" customHeight="1" x14ac:dyDescent="0.25">
      <c r="A44">
        <v>10</v>
      </c>
      <c r="B44">
        <v>44</v>
      </c>
      <c r="C44" s="12" t="s">
        <v>642</v>
      </c>
      <c r="D44" s="49" t="s">
        <v>643</v>
      </c>
      <c r="E44" s="12" t="s">
        <v>5</v>
      </c>
      <c r="F44" s="12" t="s">
        <v>644</v>
      </c>
      <c r="G44" s="12" t="s">
        <v>466</v>
      </c>
      <c r="J44" s="3" t="s">
        <v>620</v>
      </c>
      <c r="L44" s="5" t="s">
        <v>392</v>
      </c>
      <c r="M44" s="8">
        <f>COUNTA($B$2:B24)/175</f>
        <v>0.13142857142857142</v>
      </c>
    </row>
    <row r="45" spans="1:15" ht="15.75" customHeight="1" x14ac:dyDescent="0.25">
      <c r="A45">
        <v>11</v>
      </c>
      <c r="B45">
        <v>45</v>
      </c>
      <c r="C45" s="12" t="s">
        <v>645</v>
      </c>
      <c r="D45" s="49" t="s">
        <v>646</v>
      </c>
      <c r="E45" s="12" t="s">
        <v>5</v>
      </c>
      <c r="F45" s="12" t="s">
        <v>647</v>
      </c>
      <c r="G45" s="12" t="s">
        <v>466</v>
      </c>
      <c r="J45" s="3" t="s">
        <v>620</v>
      </c>
      <c r="L45" s="5" t="s">
        <v>392</v>
      </c>
      <c r="M45" s="8">
        <f>COUNTA($B$2:B24)/175</f>
        <v>0.13142857142857142</v>
      </c>
    </row>
    <row r="46" spans="1:15" ht="15.75" customHeight="1" x14ac:dyDescent="0.25">
      <c r="A46">
        <v>1</v>
      </c>
      <c r="B46">
        <v>46</v>
      </c>
      <c r="C46" s="12" t="s">
        <v>648</v>
      </c>
      <c r="D46" s="49" t="s">
        <v>649</v>
      </c>
      <c r="E46" s="12" t="s">
        <v>16</v>
      </c>
      <c r="F46" s="12" t="s">
        <v>650</v>
      </c>
      <c r="G46" s="12" t="s">
        <v>462</v>
      </c>
      <c r="J46" s="3" t="s">
        <v>620</v>
      </c>
      <c r="L46" s="5" t="s">
        <v>392</v>
      </c>
      <c r="M46" s="8">
        <f>COUNTA($B$2:B24)/175</f>
        <v>0.13142857142857142</v>
      </c>
    </row>
    <row r="47" spans="1:15" ht="15.75" customHeight="1" x14ac:dyDescent="0.3">
      <c r="A47">
        <v>2</v>
      </c>
      <c r="B47">
        <v>47</v>
      </c>
      <c r="C47" s="32" t="s">
        <v>654</v>
      </c>
      <c r="D47" s="50" t="s">
        <v>655</v>
      </c>
      <c r="E47" s="32" t="s">
        <v>16</v>
      </c>
      <c r="F47" s="32" t="s">
        <v>656</v>
      </c>
      <c r="G47" s="32" t="s">
        <v>466</v>
      </c>
      <c r="J47" s="11" t="s">
        <v>651</v>
      </c>
      <c r="L47" s="5" t="s">
        <v>392</v>
      </c>
      <c r="M47" s="10">
        <f>COUNTA($B$2:B35)/175</f>
        <v>0.19428571428571428</v>
      </c>
    </row>
    <row r="48" spans="1:15" ht="15.75" customHeight="1" x14ac:dyDescent="0.3">
      <c r="A48">
        <v>3</v>
      </c>
      <c r="B48">
        <v>48</v>
      </c>
      <c r="C48" s="32" t="s">
        <v>657</v>
      </c>
      <c r="D48" s="50" t="s">
        <v>658</v>
      </c>
      <c r="E48" s="32" t="s">
        <v>8</v>
      </c>
      <c r="F48" s="32" t="s">
        <v>659</v>
      </c>
      <c r="G48" s="32" t="s">
        <v>470</v>
      </c>
      <c r="J48" s="11" t="s">
        <v>651</v>
      </c>
      <c r="L48" s="5" t="s">
        <v>392</v>
      </c>
      <c r="M48" s="8">
        <f>COUNTA($B$2:B36)/175</f>
        <v>0.2</v>
      </c>
    </row>
    <row r="49" spans="1:13" ht="15.75" customHeight="1" x14ac:dyDescent="0.3">
      <c r="A49">
        <v>4</v>
      </c>
      <c r="B49">
        <v>49</v>
      </c>
      <c r="C49" s="32" t="s">
        <v>660</v>
      </c>
      <c r="D49" s="50" t="s">
        <v>661</v>
      </c>
      <c r="E49" s="32" t="s">
        <v>8</v>
      </c>
      <c r="F49" s="32" t="s">
        <v>662</v>
      </c>
      <c r="G49" s="32" t="s">
        <v>462</v>
      </c>
      <c r="J49" s="11" t="s">
        <v>651</v>
      </c>
      <c r="L49" s="5" t="s">
        <v>392</v>
      </c>
      <c r="M49" s="8">
        <f>COUNTA($B$2:B37)/175</f>
        <v>0.20571428571428571</v>
      </c>
    </row>
    <row r="50" spans="1:13" ht="15.75" customHeight="1" x14ac:dyDescent="0.3">
      <c r="A50">
        <v>5</v>
      </c>
      <c r="B50">
        <v>50</v>
      </c>
      <c r="C50" s="32" t="s">
        <v>663</v>
      </c>
      <c r="D50" s="50" t="s">
        <v>664</v>
      </c>
      <c r="E50" s="32" t="s">
        <v>16</v>
      </c>
      <c r="F50" s="32" t="s">
        <v>665</v>
      </c>
      <c r="G50" s="32" t="s">
        <v>470</v>
      </c>
      <c r="I50" s="2"/>
      <c r="J50" s="11" t="s">
        <v>651</v>
      </c>
      <c r="L50" s="5" t="s">
        <v>392</v>
      </c>
      <c r="M50" s="8">
        <f>COUNTA($B$2:B38)/175</f>
        <v>0.21142857142857144</v>
      </c>
    </row>
    <row r="51" spans="1:13" ht="15.75" customHeight="1" x14ac:dyDescent="0.3">
      <c r="A51">
        <v>6</v>
      </c>
      <c r="B51">
        <v>51</v>
      </c>
      <c r="C51" s="32" t="s">
        <v>666</v>
      </c>
      <c r="D51" s="50" t="s">
        <v>667</v>
      </c>
      <c r="E51" s="32" t="s">
        <v>11</v>
      </c>
      <c r="F51" s="32" t="s">
        <v>668</v>
      </c>
      <c r="G51" s="32" t="s">
        <v>470</v>
      </c>
      <c r="H51" s="23" t="s">
        <v>289</v>
      </c>
      <c r="J51" s="11" t="s">
        <v>651</v>
      </c>
      <c r="L51" s="5" t="s">
        <v>392</v>
      </c>
      <c r="M51" s="8">
        <f>COUNTA($B$2:B39)/175</f>
        <v>0.21714285714285714</v>
      </c>
    </row>
    <row r="52" spans="1:13" ht="15.75" customHeight="1" x14ac:dyDescent="0.3">
      <c r="A52">
        <v>7</v>
      </c>
      <c r="B52">
        <v>52</v>
      </c>
      <c r="C52" s="32" t="s">
        <v>669</v>
      </c>
      <c r="D52" s="50" t="s">
        <v>670</v>
      </c>
      <c r="E52" s="32" t="s">
        <v>16</v>
      </c>
      <c r="F52" s="32" t="s">
        <v>671</v>
      </c>
      <c r="G52" s="32" t="s">
        <v>462</v>
      </c>
      <c r="J52" s="11" t="s">
        <v>651</v>
      </c>
      <c r="L52" s="5" t="s">
        <v>392</v>
      </c>
      <c r="M52" s="8">
        <f>COUNTA($B$2:B40)/175</f>
        <v>0.22285714285714286</v>
      </c>
    </row>
    <row r="53" spans="1:13" ht="15.75" customHeight="1" x14ac:dyDescent="0.3">
      <c r="A53">
        <v>8</v>
      </c>
      <c r="B53">
        <v>53</v>
      </c>
      <c r="C53" s="32" t="s">
        <v>672</v>
      </c>
      <c r="D53" s="50" t="s">
        <v>673</v>
      </c>
      <c r="E53" s="32" t="s">
        <v>5</v>
      </c>
      <c r="F53" s="32" t="s">
        <v>674</v>
      </c>
      <c r="G53" s="32" t="s">
        <v>470</v>
      </c>
      <c r="J53" s="11" t="s">
        <v>651</v>
      </c>
      <c r="L53" s="5" t="s">
        <v>392</v>
      </c>
      <c r="M53" s="8">
        <f>COUNTA($B$2:B41)/175</f>
        <v>0.22857142857142856</v>
      </c>
    </row>
    <row r="54" spans="1:13" ht="15.75" customHeight="1" x14ac:dyDescent="0.3">
      <c r="A54">
        <v>9</v>
      </c>
      <c r="B54">
        <v>54</v>
      </c>
      <c r="C54" s="32" t="s">
        <v>675</v>
      </c>
      <c r="D54" s="50" t="s">
        <v>676</v>
      </c>
      <c r="E54" s="32" t="s">
        <v>11</v>
      </c>
      <c r="F54" s="32" t="s">
        <v>677</v>
      </c>
      <c r="G54" s="32" t="s">
        <v>470</v>
      </c>
      <c r="J54" s="11" t="s">
        <v>651</v>
      </c>
      <c r="L54" s="5" t="s">
        <v>392</v>
      </c>
      <c r="M54" s="8">
        <f>COUNTA($B$2:B42)/175</f>
        <v>0.23428571428571429</v>
      </c>
    </row>
    <row r="55" spans="1:13" ht="15.75" customHeight="1" x14ac:dyDescent="0.3">
      <c r="A55">
        <v>10</v>
      </c>
      <c r="B55">
        <v>55</v>
      </c>
      <c r="C55" s="32" t="s">
        <v>678</v>
      </c>
      <c r="D55" s="50" t="s">
        <v>679</v>
      </c>
      <c r="E55" s="32" t="s">
        <v>11</v>
      </c>
      <c r="F55" s="32" t="s">
        <v>680</v>
      </c>
      <c r="G55" s="32" t="s">
        <v>470</v>
      </c>
      <c r="J55" s="11" t="s">
        <v>651</v>
      </c>
      <c r="L55" s="5" t="s">
        <v>392</v>
      </c>
      <c r="M55" s="8">
        <f>COUNTA($B$2:B54)/175</f>
        <v>0.30285714285714288</v>
      </c>
    </row>
    <row r="56" spans="1:13" ht="15.75" customHeight="1" x14ac:dyDescent="0.3">
      <c r="A56">
        <v>11</v>
      </c>
      <c r="B56">
        <v>56</v>
      </c>
      <c r="C56" s="32" t="s">
        <v>681</v>
      </c>
      <c r="D56" s="50" t="s">
        <v>682</v>
      </c>
      <c r="E56" s="32" t="s">
        <v>16</v>
      </c>
      <c r="F56" s="32" t="s">
        <v>683</v>
      </c>
      <c r="G56" s="32" t="s">
        <v>462</v>
      </c>
      <c r="I56" s="2"/>
      <c r="J56" s="11" t="s">
        <v>651</v>
      </c>
      <c r="L56" s="5" t="s">
        <v>392</v>
      </c>
      <c r="M56" s="8">
        <f>COUNTA($B$2:B55)/175</f>
        <v>0.30857142857142855</v>
      </c>
    </row>
    <row r="57" spans="1:13" ht="15.75" customHeight="1" x14ac:dyDescent="0.3">
      <c r="A57">
        <v>1</v>
      </c>
      <c r="B57">
        <v>57</v>
      </c>
      <c r="C57" s="34" t="s">
        <v>685</v>
      </c>
      <c r="D57" s="50" t="s">
        <v>686</v>
      </c>
      <c r="E57" s="34" t="s">
        <v>8</v>
      </c>
      <c r="F57" s="34" t="s">
        <v>687</v>
      </c>
      <c r="G57" s="34" t="s">
        <v>470</v>
      </c>
      <c r="J57" s="11" t="s">
        <v>653</v>
      </c>
      <c r="L57" s="5" t="s">
        <v>392</v>
      </c>
      <c r="M57" s="8">
        <f>COUNTA($B$2:B56)/175</f>
        <v>0.31428571428571428</v>
      </c>
    </row>
    <row r="58" spans="1:13" ht="15.75" customHeight="1" x14ac:dyDescent="0.3">
      <c r="A58">
        <v>2</v>
      </c>
      <c r="B58">
        <v>58</v>
      </c>
      <c r="C58" s="34" t="s">
        <v>688</v>
      </c>
      <c r="D58" s="50" t="s">
        <v>689</v>
      </c>
      <c r="E58" s="34" t="s">
        <v>8</v>
      </c>
      <c r="F58" s="34" t="s">
        <v>690</v>
      </c>
      <c r="G58" s="34" t="s">
        <v>466</v>
      </c>
      <c r="H58" s="23" t="s">
        <v>289</v>
      </c>
      <c r="J58" s="11" t="s">
        <v>653</v>
      </c>
      <c r="K58" t="s">
        <v>652</v>
      </c>
      <c r="L58" s="5" t="s">
        <v>392</v>
      </c>
      <c r="M58" s="8">
        <f>COUNTA($B$2:B57)/175</f>
        <v>0.32</v>
      </c>
    </row>
    <row r="59" spans="1:13" ht="15.75" customHeight="1" x14ac:dyDescent="0.3">
      <c r="A59">
        <v>3</v>
      </c>
      <c r="B59">
        <v>59</v>
      </c>
      <c r="C59" s="34" t="s">
        <v>691</v>
      </c>
      <c r="D59" s="50" t="s">
        <v>692</v>
      </c>
      <c r="E59" s="34" t="s">
        <v>16</v>
      </c>
      <c r="F59" s="34" t="s">
        <v>693</v>
      </c>
      <c r="G59" s="34" t="s">
        <v>462</v>
      </c>
      <c r="H59" s="23" t="s">
        <v>289</v>
      </c>
      <c r="J59" s="11" t="s">
        <v>653</v>
      </c>
      <c r="L59" s="5" t="s">
        <v>392</v>
      </c>
      <c r="M59" s="8">
        <f>COUNTA($B$2:B58)/175</f>
        <v>0.32571428571428573</v>
      </c>
    </row>
    <row r="60" spans="1:13" ht="15.75" customHeight="1" x14ac:dyDescent="0.3">
      <c r="A60">
        <v>4</v>
      </c>
      <c r="B60">
        <v>60</v>
      </c>
      <c r="C60" s="34" t="s">
        <v>691</v>
      </c>
      <c r="D60" s="50" t="s">
        <v>694</v>
      </c>
      <c r="E60" s="34" t="s">
        <v>16</v>
      </c>
      <c r="F60" s="34" t="s">
        <v>695</v>
      </c>
      <c r="G60" s="34" t="s">
        <v>462</v>
      </c>
      <c r="H60" s="23" t="s">
        <v>289</v>
      </c>
      <c r="J60" s="11" t="s">
        <v>653</v>
      </c>
      <c r="L60" s="5" t="s">
        <v>392</v>
      </c>
      <c r="M60" s="8">
        <f>COUNTA($B$2:B59)/175</f>
        <v>0.33142857142857141</v>
      </c>
    </row>
    <row r="61" spans="1:13" ht="15.75" customHeight="1" x14ac:dyDescent="0.3">
      <c r="A61">
        <v>5</v>
      </c>
      <c r="B61">
        <v>61</v>
      </c>
      <c r="C61" s="34" t="s">
        <v>696</v>
      </c>
      <c r="D61" s="50" t="s">
        <v>697</v>
      </c>
      <c r="E61" s="34" t="s">
        <v>8</v>
      </c>
      <c r="F61" s="34" t="s">
        <v>698</v>
      </c>
      <c r="G61" s="34" t="s">
        <v>466</v>
      </c>
      <c r="H61" s="34"/>
      <c r="J61" s="11" t="s">
        <v>653</v>
      </c>
      <c r="K61" s="32"/>
      <c r="L61" s="5" t="s">
        <v>392</v>
      </c>
      <c r="M61" s="8">
        <f>COUNTA($B$2:B60)/175</f>
        <v>0.33714285714285713</v>
      </c>
    </row>
    <row r="62" spans="1:13" ht="15.75" customHeight="1" x14ac:dyDescent="0.3">
      <c r="A62">
        <v>6</v>
      </c>
      <c r="B62">
        <v>62</v>
      </c>
      <c r="C62" s="34" t="s">
        <v>699</v>
      </c>
      <c r="D62" s="50" t="s">
        <v>700</v>
      </c>
      <c r="E62" s="34" t="s">
        <v>16</v>
      </c>
      <c r="F62" s="34" t="s">
        <v>701</v>
      </c>
      <c r="G62" s="34" t="s">
        <v>470</v>
      </c>
      <c r="H62" s="23" t="s">
        <v>289</v>
      </c>
      <c r="J62" s="11" t="s">
        <v>653</v>
      </c>
      <c r="L62" s="5" t="s">
        <v>392</v>
      </c>
      <c r="M62" s="8">
        <f>COUNTA($B$2:B61)/175</f>
        <v>0.34285714285714286</v>
      </c>
    </row>
    <row r="63" spans="1:13" ht="15.75" customHeight="1" x14ac:dyDescent="0.3">
      <c r="A63">
        <v>7</v>
      </c>
      <c r="B63">
        <v>63</v>
      </c>
      <c r="C63" s="36" t="s">
        <v>713</v>
      </c>
      <c r="D63" s="50" t="s">
        <v>714</v>
      </c>
      <c r="E63" s="36" t="s">
        <v>8</v>
      </c>
      <c r="F63" s="36" t="s">
        <v>715</v>
      </c>
      <c r="G63" s="36" t="s">
        <v>462</v>
      </c>
      <c r="H63" s="23" t="s">
        <v>289</v>
      </c>
      <c r="J63" s="11" t="s">
        <v>684</v>
      </c>
      <c r="L63" s="5" t="s">
        <v>392</v>
      </c>
      <c r="M63" s="8">
        <f>COUNTA($B$2:B62)/175</f>
        <v>0.34857142857142859</v>
      </c>
    </row>
    <row r="64" spans="1:13" ht="15.75" customHeight="1" x14ac:dyDescent="0.3">
      <c r="A64">
        <v>8</v>
      </c>
      <c r="B64">
        <v>64</v>
      </c>
      <c r="C64" s="36" t="s">
        <v>716</v>
      </c>
      <c r="D64" s="50" t="s">
        <v>717</v>
      </c>
      <c r="E64" s="36" t="s">
        <v>8</v>
      </c>
      <c r="F64" s="36" t="s">
        <v>718</v>
      </c>
      <c r="G64" s="36" t="s">
        <v>470</v>
      </c>
      <c r="H64" s="23" t="s">
        <v>289</v>
      </c>
      <c r="J64" s="11" t="s">
        <v>684</v>
      </c>
      <c r="L64" s="5" t="s">
        <v>392</v>
      </c>
      <c r="M64" s="8">
        <f>COUNTA($B$2:B63)/175</f>
        <v>0.35428571428571426</v>
      </c>
    </row>
    <row r="65" spans="1:13" ht="15.75" customHeight="1" x14ac:dyDescent="0.3">
      <c r="A65">
        <v>9</v>
      </c>
      <c r="B65">
        <v>65</v>
      </c>
      <c r="C65" s="36" t="s">
        <v>719</v>
      </c>
      <c r="D65" s="50" t="s">
        <v>720</v>
      </c>
      <c r="E65" s="36" t="s">
        <v>16</v>
      </c>
      <c r="F65" s="36" t="s">
        <v>721</v>
      </c>
      <c r="G65" s="36" t="s">
        <v>462</v>
      </c>
      <c r="H65" s="23" t="s">
        <v>289</v>
      </c>
      <c r="J65" s="11" t="s">
        <v>684</v>
      </c>
      <c r="L65" s="5" t="s">
        <v>392</v>
      </c>
      <c r="M65" s="8">
        <f>COUNTA($B$2:B64)/175</f>
        <v>0.36</v>
      </c>
    </row>
    <row r="66" spans="1:13" ht="15.75" customHeight="1" x14ac:dyDescent="0.3">
      <c r="A66">
        <v>10</v>
      </c>
      <c r="B66">
        <v>66</v>
      </c>
      <c r="C66" s="36" t="s">
        <v>722</v>
      </c>
      <c r="D66" s="50" t="s">
        <v>723</v>
      </c>
      <c r="E66" s="36" t="s">
        <v>11</v>
      </c>
      <c r="F66" s="36" t="s">
        <v>724</v>
      </c>
      <c r="G66" s="36" t="s">
        <v>466</v>
      </c>
      <c r="H66" s="23" t="s">
        <v>289</v>
      </c>
      <c r="J66" s="11" t="s">
        <v>684</v>
      </c>
      <c r="L66" s="5" t="s">
        <v>392</v>
      </c>
      <c r="M66" s="8">
        <f>COUNTA($B$2:B65)/175</f>
        <v>0.36571428571428571</v>
      </c>
    </row>
    <row r="67" spans="1:13" ht="15.75" customHeight="1" x14ac:dyDescent="0.3">
      <c r="A67">
        <v>1</v>
      </c>
      <c r="B67">
        <v>67</v>
      </c>
      <c r="C67" s="36" t="s">
        <v>725</v>
      </c>
      <c r="D67" s="50" t="s">
        <v>726</v>
      </c>
      <c r="E67" s="36" t="s">
        <v>5</v>
      </c>
      <c r="F67" s="36" t="s">
        <v>727</v>
      </c>
      <c r="G67" s="36" t="s">
        <v>466</v>
      </c>
      <c r="J67" s="11" t="s">
        <v>684</v>
      </c>
      <c r="L67" s="5" t="s">
        <v>392</v>
      </c>
      <c r="M67" s="8">
        <f>COUNTA($B$2:B66)/175</f>
        <v>0.37142857142857144</v>
      </c>
    </row>
    <row r="68" spans="1:13" ht="15.75" customHeight="1" x14ac:dyDescent="0.3">
      <c r="A68">
        <v>2</v>
      </c>
      <c r="B68">
        <v>68</v>
      </c>
      <c r="C68" s="37" t="s">
        <v>730</v>
      </c>
      <c r="D68" s="50" t="s">
        <v>731</v>
      </c>
      <c r="E68" s="37" t="s">
        <v>8</v>
      </c>
      <c r="F68" s="37" t="s">
        <v>732</v>
      </c>
      <c r="G68" s="37" t="s">
        <v>733</v>
      </c>
      <c r="H68" s="23" t="s">
        <v>289</v>
      </c>
      <c r="J68" s="11" t="s">
        <v>712</v>
      </c>
      <c r="L68" s="5" t="s">
        <v>392</v>
      </c>
      <c r="M68" s="8">
        <f>COUNTA($B$2:B67)/175</f>
        <v>0.37714285714285717</v>
      </c>
    </row>
    <row r="69" spans="1:13" ht="15.75" customHeight="1" x14ac:dyDescent="0.3">
      <c r="A69">
        <v>3</v>
      </c>
      <c r="B69">
        <v>69</v>
      </c>
      <c r="C69" s="37" t="s">
        <v>734</v>
      </c>
      <c r="D69" s="50" t="s">
        <v>735</v>
      </c>
      <c r="E69" s="37" t="s">
        <v>5</v>
      </c>
      <c r="F69" s="37" t="s">
        <v>736</v>
      </c>
      <c r="G69" s="37" t="s">
        <v>733</v>
      </c>
      <c r="H69" s="23" t="s">
        <v>289</v>
      </c>
      <c r="J69" s="11" t="s">
        <v>712</v>
      </c>
      <c r="L69" s="5" t="s">
        <v>392</v>
      </c>
      <c r="M69" s="8">
        <f>COUNTA($B$2:B68)/175</f>
        <v>0.38285714285714284</v>
      </c>
    </row>
    <row r="70" spans="1:13" ht="15.75" customHeight="1" x14ac:dyDescent="0.3">
      <c r="A70">
        <v>4</v>
      </c>
      <c r="B70">
        <v>70</v>
      </c>
      <c r="C70" s="37" t="s">
        <v>737</v>
      </c>
      <c r="D70" s="50" t="s">
        <v>738</v>
      </c>
      <c r="E70" s="37" t="s">
        <v>11</v>
      </c>
      <c r="F70" s="37" t="s">
        <v>739</v>
      </c>
      <c r="G70" s="37" t="s">
        <v>740</v>
      </c>
      <c r="H70" s="23" t="s">
        <v>289</v>
      </c>
      <c r="J70" s="11" t="s">
        <v>712</v>
      </c>
      <c r="L70" s="5" t="s">
        <v>392</v>
      </c>
      <c r="M70" s="8">
        <f>COUNTA($B$2:B69)/175</f>
        <v>0.38857142857142857</v>
      </c>
    </row>
    <row r="71" spans="1:13" ht="15.75" customHeight="1" x14ac:dyDescent="0.3">
      <c r="A71">
        <v>5</v>
      </c>
      <c r="B71">
        <v>71</v>
      </c>
      <c r="C71" s="37" t="s">
        <v>741</v>
      </c>
      <c r="D71" s="50" t="s">
        <v>742</v>
      </c>
      <c r="E71" s="37" t="s">
        <v>5</v>
      </c>
      <c r="F71" s="37" t="s">
        <v>743</v>
      </c>
      <c r="G71" s="37" t="s">
        <v>744</v>
      </c>
      <c r="H71" s="23" t="s">
        <v>289</v>
      </c>
      <c r="J71" s="11" t="s">
        <v>712</v>
      </c>
      <c r="L71" s="5" t="s">
        <v>392</v>
      </c>
      <c r="M71" s="10">
        <f>COUNTA($B$2:B70)/175</f>
        <v>0.39428571428571429</v>
      </c>
    </row>
    <row r="72" spans="1:13" ht="15.75" customHeight="1" x14ac:dyDescent="0.3">
      <c r="A72">
        <v>6</v>
      </c>
      <c r="B72">
        <v>72</v>
      </c>
      <c r="C72" s="37" t="s">
        <v>745</v>
      </c>
      <c r="D72" s="50" t="s">
        <v>746</v>
      </c>
      <c r="E72" s="37" t="s">
        <v>5</v>
      </c>
      <c r="F72" s="37" t="s">
        <v>747</v>
      </c>
      <c r="G72" s="37" t="s">
        <v>733</v>
      </c>
      <c r="H72" s="23" t="s">
        <v>289</v>
      </c>
      <c r="J72" s="11" t="s">
        <v>712</v>
      </c>
      <c r="L72" s="5" t="s">
        <v>392</v>
      </c>
      <c r="M72" s="8">
        <f>COUNTA($B$2:B71)/175</f>
        <v>0.4</v>
      </c>
    </row>
    <row r="73" spans="1:13" ht="15.75" customHeight="1" x14ac:dyDescent="0.3">
      <c r="A73">
        <v>1</v>
      </c>
      <c r="B73">
        <v>73</v>
      </c>
      <c r="C73" s="37" t="s">
        <v>748</v>
      </c>
      <c r="D73" s="50" t="s">
        <v>749</v>
      </c>
      <c r="E73" s="37" t="s">
        <v>11</v>
      </c>
      <c r="F73" s="37" t="s">
        <v>750</v>
      </c>
      <c r="G73" s="37" t="s">
        <v>733</v>
      </c>
      <c r="H73" s="23" t="s">
        <v>289</v>
      </c>
      <c r="J73" s="11" t="s">
        <v>712</v>
      </c>
      <c r="K73" s="2" t="s">
        <v>702</v>
      </c>
      <c r="L73" s="5" t="s">
        <v>392</v>
      </c>
      <c r="M73" s="8">
        <f>COUNTA($B$2:B72)/175</f>
        <v>0.40571428571428569</v>
      </c>
    </row>
    <row r="74" spans="1:13" ht="15.75" customHeight="1" x14ac:dyDescent="0.3">
      <c r="A74">
        <v>2</v>
      </c>
      <c r="B74">
        <v>74</v>
      </c>
      <c r="C74" s="37" t="s">
        <v>751</v>
      </c>
      <c r="D74" s="50" t="s">
        <v>752</v>
      </c>
      <c r="E74" s="37" t="s">
        <v>11</v>
      </c>
      <c r="F74" s="37" t="s">
        <v>753</v>
      </c>
      <c r="G74" s="37" t="s">
        <v>733</v>
      </c>
      <c r="H74" s="23" t="s">
        <v>289</v>
      </c>
      <c r="J74" s="11" t="s">
        <v>712</v>
      </c>
      <c r="K74" s="3" t="s">
        <v>708</v>
      </c>
      <c r="L74" s="5" t="s">
        <v>392</v>
      </c>
      <c r="M74" s="8">
        <f>COUNTA($B$2:B73)/175</f>
        <v>0.41142857142857142</v>
      </c>
    </row>
    <row r="75" spans="1:13" ht="15.75" customHeight="1" x14ac:dyDescent="0.3">
      <c r="A75">
        <v>3</v>
      </c>
      <c r="B75">
        <v>75</v>
      </c>
      <c r="C75" s="37" t="s">
        <v>754</v>
      </c>
      <c r="D75" s="50" t="s">
        <v>755</v>
      </c>
      <c r="E75" s="37" t="s">
        <v>5</v>
      </c>
      <c r="F75" s="37" t="s">
        <v>756</v>
      </c>
      <c r="G75" s="37" t="s">
        <v>733</v>
      </c>
      <c r="J75" s="11" t="s">
        <v>712</v>
      </c>
      <c r="L75" s="5" t="s">
        <v>392</v>
      </c>
      <c r="M75" s="8">
        <f>COUNTA($B$2:B74)/175</f>
        <v>0.41714285714285715</v>
      </c>
    </row>
    <row r="76" spans="1:13" ht="15.75" customHeight="1" x14ac:dyDescent="0.3">
      <c r="A76">
        <v>4</v>
      </c>
      <c r="B76">
        <v>76</v>
      </c>
      <c r="C76" s="38" t="s">
        <v>763</v>
      </c>
      <c r="D76" s="50" t="s">
        <v>764</v>
      </c>
      <c r="E76" s="38" t="s">
        <v>510</v>
      </c>
      <c r="F76" s="38" t="s">
        <v>765</v>
      </c>
      <c r="G76" s="38" t="s">
        <v>462</v>
      </c>
      <c r="H76" s="23" t="s">
        <v>289</v>
      </c>
      <c r="J76" s="11" t="s">
        <v>729</v>
      </c>
      <c r="L76" s="5" t="s">
        <v>392</v>
      </c>
      <c r="M76" s="8">
        <f>COUNTA($B$2:B75)/175</f>
        <v>0.42285714285714288</v>
      </c>
    </row>
    <row r="77" spans="1:13" ht="15.75" customHeight="1" x14ac:dyDescent="0.3">
      <c r="A77">
        <v>5</v>
      </c>
      <c r="B77">
        <v>77</v>
      </c>
      <c r="C77" s="38" t="s">
        <v>766</v>
      </c>
      <c r="D77" s="50" t="s">
        <v>767</v>
      </c>
      <c r="E77" s="38" t="s">
        <v>16</v>
      </c>
      <c r="F77" s="38" t="s">
        <v>768</v>
      </c>
      <c r="G77" s="38" t="s">
        <v>470</v>
      </c>
      <c r="J77" s="11" t="s">
        <v>729</v>
      </c>
      <c r="L77" s="5" t="s">
        <v>392</v>
      </c>
      <c r="M77" s="8">
        <f>COUNTA($B$2:B76)/175</f>
        <v>0.42857142857142855</v>
      </c>
    </row>
    <row r="78" spans="1:13" ht="15.75" customHeight="1" x14ac:dyDescent="0.3">
      <c r="A78">
        <v>1</v>
      </c>
      <c r="B78">
        <v>78</v>
      </c>
      <c r="C78" s="38" t="s">
        <v>769</v>
      </c>
      <c r="D78" s="50" t="s">
        <v>770</v>
      </c>
      <c r="E78" s="38" t="s">
        <v>16</v>
      </c>
      <c r="F78" s="38" t="s">
        <v>771</v>
      </c>
      <c r="G78" s="38" t="s">
        <v>470</v>
      </c>
      <c r="J78" s="11" t="s">
        <v>729</v>
      </c>
      <c r="L78" s="5" t="s">
        <v>392</v>
      </c>
      <c r="M78" s="8">
        <f>COUNTA($B$2:B77)/175</f>
        <v>0.43428571428571427</v>
      </c>
    </row>
    <row r="79" spans="1:13" ht="15.75" customHeight="1" x14ac:dyDescent="0.3">
      <c r="A79">
        <v>2</v>
      </c>
      <c r="B79">
        <v>79</v>
      </c>
      <c r="C79" s="38" t="s">
        <v>772</v>
      </c>
      <c r="D79" s="50" t="s">
        <v>773</v>
      </c>
      <c r="E79" s="38" t="s">
        <v>8</v>
      </c>
      <c r="F79" s="38" t="s">
        <v>774</v>
      </c>
      <c r="G79" s="38" t="s">
        <v>466</v>
      </c>
      <c r="J79" s="11" t="s">
        <v>729</v>
      </c>
      <c r="L79" s="5" t="s">
        <v>392</v>
      </c>
      <c r="M79" s="8">
        <f>COUNTA($B$2:B78)/175</f>
        <v>0.44</v>
      </c>
    </row>
    <row r="80" spans="1:13" ht="15.75" customHeight="1" x14ac:dyDescent="0.3">
      <c r="A80">
        <v>3</v>
      </c>
      <c r="B80">
        <v>80</v>
      </c>
      <c r="C80" s="38" t="s">
        <v>775</v>
      </c>
      <c r="D80" s="50" t="s">
        <v>776</v>
      </c>
      <c r="E80" s="38" t="s">
        <v>5</v>
      </c>
      <c r="F80" s="38" t="s">
        <v>777</v>
      </c>
      <c r="G80" s="38" t="s">
        <v>466</v>
      </c>
      <c r="J80" s="11" t="s">
        <v>729</v>
      </c>
      <c r="L80" s="5" t="s">
        <v>392</v>
      </c>
      <c r="M80" s="8">
        <f>COUNTA($B$2:B79)/175</f>
        <v>0.44571428571428573</v>
      </c>
    </row>
    <row r="81" spans="1:13" ht="15.75" customHeight="1" x14ac:dyDescent="0.3">
      <c r="A81">
        <v>4</v>
      </c>
      <c r="B81">
        <v>81</v>
      </c>
      <c r="C81" s="38" t="s">
        <v>778</v>
      </c>
      <c r="D81" s="50" t="s">
        <v>779</v>
      </c>
      <c r="E81" s="38" t="s">
        <v>8</v>
      </c>
      <c r="F81" s="38" t="s">
        <v>780</v>
      </c>
      <c r="G81" s="38" t="s">
        <v>470</v>
      </c>
      <c r="H81" s="23" t="s">
        <v>289</v>
      </c>
      <c r="J81" s="11" t="s">
        <v>729</v>
      </c>
      <c r="L81" s="5" t="s">
        <v>392</v>
      </c>
      <c r="M81" s="8">
        <f>COUNTA($B$2:B80)/175</f>
        <v>0.4514285714285714</v>
      </c>
    </row>
    <row r="82" spans="1:13" ht="15.75" customHeight="1" x14ac:dyDescent="0.3">
      <c r="A82">
        <v>5</v>
      </c>
      <c r="B82">
        <v>82</v>
      </c>
      <c r="C82" s="38" t="s">
        <v>781</v>
      </c>
      <c r="D82" s="50" t="s">
        <v>782</v>
      </c>
      <c r="E82" s="38" t="s">
        <v>8</v>
      </c>
      <c r="F82" s="38" t="s">
        <v>783</v>
      </c>
      <c r="G82" s="38" t="s">
        <v>470</v>
      </c>
      <c r="J82" s="11" t="s">
        <v>729</v>
      </c>
      <c r="K82" s="4" t="s">
        <v>728</v>
      </c>
      <c r="L82" s="5" t="s">
        <v>392</v>
      </c>
      <c r="M82" s="8">
        <f>COUNTA($B$2:B81)/175</f>
        <v>0.45714285714285713</v>
      </c>
    </row>
    <row r="83" spans="1:13" ht="15.75" customHeight="1" x14ac:dyDescent="0.3">
      <c r="A83">
        <v>6</v>
      </c>
      <c r="B83">
        <v>83</v>
      </c>
      <c r="C83" s="39" t="s">
        <v>785</v>
      </c>
      <c r="D83" s="50" t="s">
        <v>786</v>
      </c>
      <c r="E83" s="39" t="s">
        <v>5</v>
      </c>
      <c r="F83" s="39" t="s">
        <v>787</v>
      </c>
      <c r="G83" s="39" t="s">
        <v>733</v>
      </c>
      <c r="H83" s="23" t="s">
        <v>289</v>
      </c>
      <c r="J83" s="11" t="s">
        <v>762</v>
      </c>
      <c r="L83" s="5" t="s">
        <v>392</v>
      </c>
      <c r="M83" s="8">
        <f>COUNTA($B$2:B82)/175</f>
        <v>0.46285714285714286</v>
      </c>
    </row>
    <row r="84" spans="1:13" ht="15.75" customHeight="1" x14ac:dyDescent="0.3">
      <c r="A84">
        <v>7</v>
      </c>
      <c r="B84">
        <v>84</v>
      </c>
      <c r="C84" s="39" t="s">
        <v>785</v>
      </c>
      <c r="D84" s="50" t="s">
        <v>786</v>
      </c>
      <c r="E84" s="39" t="s">
        <v>5</v>
      </c>
      <c r="F84" s="39" t="s">
        <v>788</v>
      </c>
      <c r="G84" s="39" t="s">
        <v>733</v>
      </c>
      <c r="J84" s="11" t="s">
        <v>762</v>
      </c>
      <c r="L84" s="5" t="s">
        <v>392</v>
      </c>
      <c r="M84" s="8">
        <f>COUNTA($B$2:B83)/175</f>
        <v>0.46857142857142858</v>
      </c>
    </row>
    <row r="85" spans="1:13" ht="15.75" customHeight="1" x14ac:dyDescent="0.3">
      <c r="A85">
        <v>8</v>
      </c>
      <c r="B85">
        <v>85</v>
      </c>
      <c r="C85" s="39" t="s">
        <v>789</v>
      </c>
      <c r="D85" s="50" t="s">
        <v>790</v>
      </c>
      <c r="E85" s="39" t="s">
        <v>5</v>
      </c>
      <c r="F85" s="39" t="s">
        <v>791</v>
      </c>
      <c r="G85" s="39" t="s">
        <v>740</v>
      </c>
      <c r="H85" s="23" t="s">
        <v>289</v>
      </c>
      <c r="J85" s="11" t="s">
        <v>762</v>
      </c>
      <c r="L85" s="5" t="s">
        <v>392</v>
      </c>
      <c r="M85" s="8">
        <f>COUNTA($B$2:B84)/175</f>
        <v>0.47428571428571431</v>
      </c>
    </row>
    <row r="86" spans="1:13" ht="15.75" customHeight="1" x14ac:dyDescent="0.3">
      <c r="A86">
        <v>1</v>
      </c>
      <c r="B86">
        <v>86</v>
      </c>
      <c r="C86" s="39" t="s">
        <v>792</v>
      </c>
      <c r="D86" s="50" t="s">
        <v>793</v>
      </c>
      <c r="E86" s="39" t="s">
        <v>16</v>
      </c>
      <c r="F86" s="39" t="s">
        <v>794</v>
      </c>
      <c r="G86" s="39" t="s">
        <v>733</v>
      </c>
      <c r="J86" s="11" t="s">
        <v>762</v>
      </c>
      <c r="L86" s="5" t="s">
        <v>392</v>
      </c>
      <c r="M86" s="8">
        <f>COUNTA($B$2:B85)/175</f>
        <v>0.48</v>
      </c>
    </row>
    <row r="87" spans="1:13" ht="15.75" customHeight="1" x14ac:dyDescent="0.3">
      <c r="A87">
        <v>2</v>
      </c>
      <c r="B87">
        <v>87</v>
      </c>
      <c r="C87" s="39" t="s">
        <v>795</v>
      </c>
      <c r="D87" s="50" t="s">
        <v>796</v>
      </c>
      <c r="E87" s="39" t="s">
        <v>8</v>
      </c>
      <c r="F87" s="39" t="s">
        <v>797</v>
      </c>
      <c r="G87" s="39" t="s">
        <v>744</v>
      </c>
      <c r="J87" s="11" t="s">
        <v>762</v>
      </c>
      <c r="L87" s="5" t="s">
        <v>392</v>
      </c>
      <c r="M87" s="8">
        <f>COUNTA($B$2:B86)/175</f>
        <v>0.48571428571428571</v>
      </c>
    </row>
    <row r="88" spans="1:13" ht="15.75" customHeight="1" x14ac:dyDescent="0.3">
      <c r="A88">
        <v>3</v>
      </c>
      <c r="B88">
        <v>88</v>
      </c>
      <c r="C88" s="39" t="s">
        <v>798</v>
      </c>
      <c r="D88" s="50" t="s">
        <v>799</v>
      </c>
      <c r="E88" s="39" t="s">
        <v>5</v>
      </c>
      <c r="F88" s="39" t="s">
        <v>800</v>
      </c>
      <c r="G88" s="39" t="s">
        <v>733</v>
      </c>
      <c r="J88" s="11" t="s">
        <v>762</v>
      </c>
      <c r="L88" s="5" t="s">
        <v>392</v>
      </c>
      <c r="M88" s="8">
        <f>COUNTA($B$2:B87)/175</f>
        <v>0.49142857142857144</v>
      </c>
    </row>
    <row r="89" spans="1:13" ht="15.75" customHeight="1" x14ac:dyDescent="0.3">
      <c r="A89">
        <v>4</v>
      </c>
      <c r="B89">
        <v>89</v>
      </c>
      <c r="C89" s="39" t="s">
        <v>801</v>
      </c>
      <c r="D89" s="50" t="s">
        <v>802</v>
      </c>
      <c r="E89" s="39" t="s">
        <v>11</v>
      </c>
      <c r="F89" s="39" t="s">
        <v>803</v>
      </c>
      <c r="G89" s="39" t="s">
        <v>744</v>
      </c>
      <c r="J89" s="11" t="s">
        <v>762</v>
      </c>
      <c r="L89" s="5" t="s">
        <v>392</v>
      </c>
      <c r="M89" s="8">
        <f>COUNTA($B$2:B88)/175</f>
        <v>0.49714285714285716</v>
      </c>
    </row>
    <row r="90" spans="1:13" ht="15.75" customHeight="1" x14ac:dyDescent="0.3">
      <c r="A90">
        <v>5</v>
      </c>
      <c r="B90">
        <v>90</v>
      </c>
      <c r="C90" s="39" t="s">
        <v>804</v>
      </c>
      <c r="D90" s="50" t="s">
        <v>805</v>
      </c>
      <c r="E90" s="39" t="s">
        <v>806</v>
      </c>
      <c r="F90" s="39" t="s">
        <v>807</v>
      </c>
      <c r="G90" s="39" t="s">
        <v>744</v>
      </c>
      <c r="H90" s="23" t="s">
        <v>289</v>
      </c>
      <c r="J90" s="11" t="s">
        <v>762</v>
      </c>
      <c r="L90" s="5" t="s">
        <v>392</v>
      </c>
      <c r="M90" s="8">
        <f>COUNTA($B$2:B89)/175</f>
        <v>0.50285714285714289</v>
      </c>
    </row>
    <row r="91" spans="1:13" ht="15.75" customHeight="1" x14ac:dyDescent="0.3">
      <c r="A91">
        <v>6</v>
      </c>
      <c r="B91">
        <v>91</v>
      </c>
      <c r="C91" s="39" t="s">
        <v>808</v>
      </c>
      <c r="D91" s="50" t="s">
        <v>809</v>
      </c>
      <c r="E91" s="39" t="s">
        <v>16</v>
      </c>
      <c r="F91" s="39" t="s">
        <v>810</v>
      </c>
      <c r="G91" s="39" t="s">
        <v>733</v>
      </c>
      <c r="J91" s="11" t="s">
        <v>762</v>
      </c>
      <c r="L91" s="5" t="s">
        <v>392</v>
      </c>
      <c r="M91" s="8">
        <f>COUNTA($B$2:B90)/175</f>
        <v>0.50857142857142856</v>
      </c>
    </row>
    <row r="92" spans="1:13" ht="15.75" customHeight="1" x14ac:dyDescent="0.3">
      <c r="A92">
        <v>7</v>
      </c>
      <c r="B92">
        <v>92</v>
      </c>
      <c r="C92" s="39" t="s">
        <v>811</v>
      </c>
      <c r="D92" s="50" t="s">
        <v>812</v>
      </c>
      <c r="E92" s="39" t="s">
        <v>16</v>
      </c>
      <c r="F92" s="39" t="s">
        <v>813</v>
      </c>
      <c r="G92" s="39" t="s">
        <v>744</v>
      </c>
      <c r="J92" s="11" t="s">
        <v>762</v>
      </c>
      <c r="L92" s="5" t="s">
        <v>392</v>
      </c>
      <c r="M92" s="8">
        <f>COUNTA($B$2:B91)/175</f>
        <v>0.51428571428571423</v>
      </c>
    </row>
    <row r="93" spans="1:13" ht="15.75" customHeight="1" x14ac:dyDescent="0.3">
      <c r="A93">
        <v>1</v>
      </c>
      <c r="B93">
        <v>93</v>
      </c>
      <c r="C93" s="39" t="s">
        <v>814</v>
      </c>
      <c r="D93" s="50" t="s">
        <v>815</v>
      </c>
      <c r="E93" s="39" t="s">
        <v>8</v>
      </c>
      <c r="F93" s="39" t="s">
        <v>816</v>
      </c>
      <c r="G93" s="39" t="s">
        <v>733</v>
      </c>
      <c r="J93" s="11" t="s">
        <v>762</v>
      </c>
      <c r="L93" s="5" t="s">
        <v>392</v>
      </c>
      <c r="M93" s="8">
        <f>COUNTA($B$2:B92)/175</f>
        <v>0.52</v>
      </c>
    </row>
    <row r="94" spans="1:13" ht="15.75" customHeight="1" x14ac:dyDescent="0.3">
      <c r="A94">
        <v>2</v>
      </c>
      <c r="B94">
        <v>94</v>
      </c>
      <c r="C94" s="39" t="s">
        <v>817</v>
      </c>
      <c r="D94" s="50" t="s">
        <v>818</v>
      </c>
      <c r="E94" s="39" t="s">
        <v>16</v>
      </c>
      <c r="F94" s="39" t="s">
        <v>819</v>
      </c>
      <c r="G94" s="39" t="s">
        <v>733</v>
      </c>
      <c r="J94" s="11" t="s">
        <v>762</v>
      </c>
      <c r="L94" s="5" t="s">
        <v>392</v>
      </c>
      <c r="M94" s="8">
        <f>COUNTA($B$2:B93)/175</f>
        <v>0.52571428571428569</v>
      </c>
    </row>
    <row r="95" spans="1:13" ht="15.75" customHeight="1" x14ac:dyDescent="0.3">
      <c r="A95">
        <v>3</v>
      </c>
      <c r="B95">
        <v>95</v>
      </c>
      <c r="C95" s="39" t="s">
        <v>820</v>
      </c>
      <c r="D95" s="50" t="s">
        <v>821</v>
      </c>
      <c r="E95" s="39" t="s">
        <v>8</v>
      </c>
      <c r="F95" s="39" t="s">
        <v>822</v>
      </c>
      <c r="G95" s="39" t="s">
        <v>733</v>
      </c>
      <c r="J95" s="11" t="s">
        <v>762</v>
      </c>
      <c r="L95" s="5" t="s">
        <v>392</v>
      </c>
      <c r="M95" s="8">
        <f>COUNTA($B$2:B94)/175</f>
        <v>0.53142857142857147</v>
      </c>
    </row>
    <row r="96" spans="1:13" ht="15.75" customHeight="1" x14ac:dyDescent="0.3">
      <c r="A96">
        <v>4</v>
      </c>
      <c r="B96">
        <v>96</v>
      </c>
      <c r="C96" s="41" t="s">
        <v>854</v>
      </c>
      <c r="D96" s="51" t="s">
        <v>855</v>
      </c>
      <c r="E96" s="41" t="s">
        <v>856</v>
      </c>
      <c r="F96" s="41" t="s">
        <v>857</v>
      </c>
      <c r="G96" s="41" t="s">
        <v>733</v>
      </c>
      <c r="H96" s="23" t="s">
        <v>289</v>
      </c>
      <c r="J96" s="11" t="s">
        <v>784</v>
      </c>
      <c r="L96" s="5" t="s">
        <v>392</v>
      </c>
      <c r="M96" s="8">
        <f>COUNTA($B$2:B95)/175</f>
        <v>0.53714285714285714</v>
      </c>
    </row>
    <row r="97" spans="1:13" ht="15.75" customHeight="1" x14ac:dyDescent="0.3">
      <c r="A97">
        <v>5</v>
      </c>
      <c r="B97">
        <v>97</v>
      </c>
      <c r="C97" s="41" t="s">
        <v>858</v>
      </c>
      <c r="D97" s="51" t="s">
        <v>859</v>
      </c>
      <c r="E97" s="41" t="s">
        <v>860</v>
      </c>
      <c r="F97" s="41" t="s">
        <v>861</v>
      </c>
      <c r="G97" s="41" t="s">
        <v>733</v>
      </c>
      <c r="H97" s="23" t="s">
        <v>289</v>
      </c>
      <c r="J97" s="11" t="s">
        <v>784</v>
      </c>
      <c r="L97" s="5" t="s">
        <v>392</v>
      </c>
      <c r="M97" s="8">
        <f>COUNTA($B$2:B96)/175</f>
        <v>0.54285714285714282</v>
      </c>
    </row>
    <row r="98" spans="1:13" ht="15.75" customHeight="1" x14ac:dyDescent="0.3">
      <c r="A98">
        <v>6</v>
      </c>
      <c r="B98">
        <v>98</v>
      </c>
      <c r="C98" s="41" t="s">
        <v>862</v>
      </c>
      <c r="D98" s="51" t="s">
        <v>863</v>
      </c>
      <c r="E98" s="41" t="s">
        <v>864</v>
      </c>
      <c r="F98" s="41" t="s">
        <v>865</v>
      </c>
      <c r="G98" s="41" t="s">
        <v>733</v>
      </c>
      <c r="J98" s="11" t="s">
        <v>784</v>
      </c>
      <c r="L98" s="5" t="s">
        <v>392</v>
      </c>
      <c r="M98" s="8">
        <f>COUNTA($B$2:B97)/175</f>
        <v>0.5485714285714286</v>
      </c>
    </row>
    <row r="99" spans="1:13" ht="15.75" customHeight="1" x14ac:dyDescent="0.3">
      <c r="A99">
        <v>7</v>
      </c>
      <c r="B99">
        <v>99</v>
      </c>
      <c r="C99" s="41" t="s">
        <v>866</v>
      </c>
      <c r="D99" s="51" t="s">
        <v>867</v>
      </c>
      <c r="E99" s="41" t="s">
        <v>868</v>
      </c>
      <c r="F99" s="41" t="s">
        <v>869</v>
      </c>
      <c r="G99" s="41" t="s">
        <v>733</v>
      </c>
      <c r="H99" s="23" t="s">
        <v>289</v>
      </c>
      <c r="J99" s="11" t="s">
        <v>784</v>
      </c>
      <c r="L99" s="5" t="s">
        <v>392</v>
      </c>
      <c r="M99" s="8">
        <f>COUNTA($B$2:B98)/175</f>
        <v>0.55428571428571427</v>
      </c>
    </row>
    <row r="100" spans="1:13" ht="15.75" customHeight="1" x14ac:dyDescent="0.3">
      <c r="A100">
        <v>8</v>
      </c>
      <c r="B100">
        <v>100</v>
      </c>
      <c r="C100" s="41" t="s">
        <v>870</v>
      </c>
      <c r="D100" s="51" t="s">
        <v>871</v>
      </c>
      <c r="E100" s="41" t="s">
        <v>872</v>
      </c>
      <c r="F100" s="41" t="s">
        <v>873</v>
      </c>
      <c r="G100" s="41" t="s">
        <v>733</v>
      </c>
      <c r="H100" s="23" t="s">
        <v>289</v>
      </c>
      <c r="J100" s="11" t="s">
        <v>784</v>
      </c>
      <c r="L100" s="5" t="s">
        <v>392</v>
      </c>
      <c r="M100" s="8">
        <f>COUNTA($B$2:B99)/175</f>
        <v>0.56000000000000005</v>
      </c>
    </row>
    <row r="101" spans="1:13" ht="15.75" customHeight="1" x14ac:dyDescent="0.3">
      <c r="A101">
        <v>9</v>
      </c>
      <c r="B101">
        <v>101</v>
      </c>
      <c r="C101" s="41" t="s">
        <v>874</v>
      </c>
      <c r="D101" s="51" t="s">
        <v>875</v>
      </c>
      <c r="E101" s="41" t="s">
        <v>876</v>
      </c>
      <c r="F101" s="41" t="s">
        <v>877</v>
      </c>
      <c r="G101" s="41" t="s">
        <v>733</v>
      </c>
      <c r="H101" s="23" t="s">
        <v>289</v>
      </c>
      <c r="J101" s="11" t="s">
        <v>784</v>
      </c>
      <c r="L101" s="5" t="s">
        <v>392</v>
      </c>
      <c r="M101" s="8">
        <f>COUNTA($B$2:B100)/175</f>
        <v>0.56571428571428573</v>
      </c>
    </row>
    <row r="102" spans="1:13" ht="15.75" customHeight="1" x14ac:dyDescent="0.3">
      <c r="A102">
        <v>10</v>
      </c>
      <c r="B102">
        <v>102</v>
      </c>
      <c r="C102" s="41" t="s">
        <v>878</v>
      </c>
      <c r="D102" s="51" t="s">
        <v>879</v>
      </c>
      <c r="E102" s="41" t="s">
        <v>880</v>
      </c>
      <c r="F102" s="41" t="s">
        <v>881</v>
      </c>
      <c r="G102" s="41" t="s">
        <v>466</v>
      </c>
      <c r="H102" s="23" t="s">
        <v>289</v>
      </c>
      <c r="J102" s="11" t="s">
        <v>784</v>
      </c>
      <c r="L102" s="5" t="s">
        <v>392</v>
      </c>
      <c r="M102" s="8">
        <f>COUNTA($B$2:B101)/175</f>
        <v>0.5714285714285714</v>
      </c>
    </row>
    <row r="103" spans="1:13" ht="15.75" customHeight="1" x14ac:dyDescent="0.3">
      <c r="A103">
        <v>11</v>
      </c>
      <c r="B103">
        <v>103</v>
      </c>
      <c r="C103" s="42" t="s">
        <v>882</v>
      </c>
      <c r="D103" s="51" t="s">
        <v>883</v>
      </c>
      <c r="E103" s="42" t="s">
        <v>16</v>
      </c>
      <c r="F103" s="42" t="s">
        <v>884</v>
      </c>
      <c r="G103" s="42" t="s">
        <v>733</v>
      </c>
      <c r="J103" s="2" t="s">
        <v>834</v>
      </c>
      <c r="L103" s="5" t="s">
        <v>392</v>
      </c>
      <c r="M103" s="8">
        <f>COUNTA($B$2:B102)/175</f>
        <v>0.57714285714285718</v>
      </c>
    </row>
    <row r="104" spans="1:13" ht="15.75" customHeight="1" x14ac:dyDescent="0.3">
      <c r="A104">
        <v>12</v>
      </c>
      <c r="B104">
        <v>104</v>
      </c>
      <c r="C104" s="42" t="s">
        <v>885</v>
      </c>
      <c r="D104" s="51" t="s">
        <v>886</v>
      </c>
      <c r="E104" s="42" t="s">
        <v>11</v>
      </c>
      <c r="F104" s="42" t="s">
        <v>887</v>
      </c>
      <c r="G104" s="42" t="s">
        <v>744</v>
      </c>
      <c r="J104" s="2" t="s">
        <v>834</v>
      </c>
      <c r="L104" s="5" t="s">
        <v>392</v>
      </c>
      <c r="M104" s="8">
        <f>COUNTA($B$2:B103)/175</f>
        <v>0.58285714285714285</v>
      </c>
    </row>
    <row r="105" spans="1:13" ht="15.75" customHeight="1" x14ac:dyDescent="0.3">
      <c r="A105">
        <v>13</v>
      </c>
      <c r="B105">
        <v>105</v>
      </c>
      <c r="C105" s="42" t="s">
        <v>888</v>
      </c>
      <c r="D105" s="51" t="s">
        <v>889</v>
      </c>
      <c r="E105" s="42" t="s">
        <v>5</v>
      </c>
      <c r="F105" s="42" t="s">
        <v>890</v>
      </c>
      <c r="G105" s="42" t="s">
        <v>891</v>
      </c>
      <c r="H105" s="23" t="s">
        <v>289</v>
      </c>
      <c r="J105" s="2" t="s">
        <v>834</v>
      </c>
      <c r="L105" s="5" t="s">
        <v>392</v>
      </c>
      <c r="M105" s="8">
        <f>COUNTA($B$2:B104)/175</f>
        <v>0.58857142857142852</v>
      </c>
    </row>
    <row r="106" spans="1:13" ht="15.75" customHeight="1" x14ac:dyDescent="0.3">
      <c r="A106">
        <v>1</v>
      </c>
      <c r="B106">
        <v>106</v>
      </c>
      <c r="C106" s="42" t="s">
        <v>892</v>
      </c>
      <c r="D106" s="51" t="s">
        <v>893</v>
      </c>
      <c r="E106" s="42" t="s">
        <v>5</v>
      </c>
      <c r="F106" s="42" t="s">
        <v>894</v>
      </c>
      <c r="G106" s="42" t="s">
        <v>466</v>
      </c>
      <c r="J106" s="2" t="s">
        <v>834</v>
      </c>
      <c r="L106" s="5" t="s">
        <v>392</v>
      </c>
      <c r="M106" s="10">
        <f>COUNTA($B$2:B105)/175</f>
        <v>0.59428571428571431</v>
      </c>
    </row>
    <row r="107" spans="1:13" ht="15.75" customHeight="1" x14ac:dyDescent="0.3">
      <c r="A107">
        <v>2</v>
      </c>
      <c r="B107">
        <v>107</v>
      </c>
      <c r="C107" s="42" t="s">
        <v>895</v>
      </c>
      <c r="D107" s="51" t="s">
        <v>896</v>
      </c>
      <c r="E107" s="42" t="s">
        <v>16</v>
      </c>
      <c r="F107" s="42" t="s">
        <v>897</v>
      </c>
      <c r="G107" s="42" t="s">
        <v>733</v>
      </c>
      <c r="J107" s="11" t="s">
        <v>835</v>
      </c>
      <c r="L107" s="5" t="s">
        <v>392</v>
      </c>
      <c r="M107" s="8">
        <f>COUNTA($B$2:B106)/175</f>
        <v>0.6</v>
      </c>
    </row>
    <row r="108" spans="1:13" ht="15.75" customHeight="1" x14ac:dyDescent="0.3">
      <c r="A108">
        <v>3</v>
      </c>
      <c r="B108">
        <v>108</v>
      </c>
      <c r="C108" s="43" t="s">
        <v>898</v>
      </c>
      <c r="D108" s="52" t="s">
        <v>899</v>
      </c>
      <c r="E108" s="43" t="s">
        <v>16</v>
      </c>
      <c r="F108" s="43" t="s">
        <v>900</v>
      </c>
      <c r="G108" s="43" t="s">
        <v>733</v>
      </c>
      <c r="J108" s="11" t="s">
        <v>835</v>
      </c>
      <c r="L108" s="5" t="s">
        <v>392</v>
      </c>
      <c r="M108" s="8">
        <f>COUNTA($B$2:B107)/175</f>
        <v>0.60571428571428576</v>
      </c>
    </row>
    <row r="109" spans="1:13" ht="15.75" customHeight="1" x14ac:dyDescent="0.3">
      <c r="A109">
        <v>4</v>
      </c>
      <c r="B109">
        <v>109</v>
      </c>
      <c r="C109" s="43" t="s">
        <v>901</v>
      </c>
      <c r="D109" s="52" t="s">
        <v>902</v>
      </c>
      <c r="E109" s="43" t="s">
        <v>16</v>
      </c>
      <c r="F109" s="43" t="s">
        <v>903</v>
      </c>
      <c r="G109" s="43" t="s">
        <v>733</v>
      </c>
      <c r="J109" s="11" t="s">
        <v>835</v>
      </c>
      <c r="L109" s="5" t="s">
        <v>392</v>
      </c>
      <c r="M109" s="8">
        <f>COUNTA($B$2:B108)/175</f>
        <v>0.61142857142857143</v>
      </c>
    </row>
    <row r="110" spans="1:13" ht="15.75" customHeight="1" x14ac:dyDescent="0.3">
      <c r="A110">
        <v>5</v>
      </c>
      <c r="B110">
        <v>110</v>
      </c>
      <c r="C110" s="43" t="s">
        <v>904</v>
      </c>
      <c r="D110" s="52" t="s">
        <v>905</v>
      </c>
      <c r="E110" s="43" t="s">
        <v>5</v>
      </c>
      <c r="F110" s="43" t="s">
        <v>906</v>
      </c>
      <c r="G110" s="43" t="s">
        <v>733</v>
      </c>
      <c r="H110" s="23" t="s">
        <v>289</v>
      </c>
      <c r="J110" s="11" t="s">
        <v>835</v>
      </c>
      <c r="L110" s="5" t="s">
        <v>392</v>
      </c>
      <c r="M110" s="8">
        <f>COUNTA($B$2:B109)/175</f>
        <v>0.6171428571428571</v>
      </c>
    </row>
    <row r="111" spans="1:13" ht="15.75" customHeight="1" x14ac:dyDescent="0.3">
      <c r="A111">
        <v>6</v>
      </c>
      <c r="B111">
        <v>111</v>
      </c>
      <c r="C111" s="43" t="s">
        <v>907</v>
      </c>
      <c r="D111" s="52" t="s">
        <v>908</v>
      </c>
      <c r="E111" s="43" t="s">
        <v>16</v>
      </c>
      <c r="F111" s="43" t="s">
        <v>909</v>
      </c>
      <c r="G111" s="43" t="s">
        <v>733</v>
      </c>
      <c r="J111" s="11" t="s">
        <v>835</v>
      </c>
      <c r="L111" s="5" t="s">
        <v>392</v>
      </c>
      <c r="M111" s="8">
        <f>COUNTA($B$2:B110)/175</f>
        <v>0.62285714285714289</v>
      </c>
    </row>
    <row r="112" spans="1:13" ht="15.75" customHeight="1" x14ac:dyDescent="0.3">
      <c r="A112">
        <v>7</v>
      </c>
      <c r="B112">
        <v>112</v>
      </c>
      <c r="C112" s="43" t="s">
        <v>910</v>
      </c>
      <c r="D112" s="52" t="s">
        <v>911</v>
      </c>
      <c r="E112" s="43" t="s">
        <v>11</v>
      </c>
      <c r="F112" s="43" t="s">
        <v>912</v>
      </c>
      <c r="G112" s="43" t="s">
        <v>733</v>
      </c>
      <c r="J112" s="11" t="s">
        <v>835</v>
      </c>
      <c r="L112" s="5" t="s">
        <v>392</v>
      </c>
      <c r="M112" s="8">
        <f>COUNTA($B$2:B111)/175</f>
        <v>0.62857142857142856</v>
      </c>
    </row>
    <row r="113" spans="1:13" ht="15.75" customHeight="1" x14ac:dyDescent="0.3">
      <c r="A113">
        <v>1</v>
      </c>
      <c r="B113">
        <v>113</v>
      </c>
      <c r="C113" s="43" t="s">
        <v>913</v>
      </c>
      <c r="D113" s="52" t="s">
        <v>914</v>
      </c>
      <c r="E113" s="43" t="s">
        <v>16</v>
      </c>
      <c r="F113" s="43" t="s">
        <v>915</v>
      </c>
      <c r="G113" s="43" t="s">
        <v>733</v>
      </c>
      <c r="J113" s="11" t="s">
        <v>835</v>
      </c>
      <c r="L113" s="5" t="s">
        <v>392</v>
      </c>
      <c r="M113" s="8">
        <f>COUNTA($B$2:B112)/175</f>
        <v>0.63428571428571423</v>
      </c>
    </row>
    <row r="114" spans="1:13" ht="15.75" customHeight="1" x14ac:dyDescent="0.3">
      <c r="A114">
        <v>2</v>
      </c>
      <c r="B114">
        <v>114</v>
      </c>
      <c r="C114" s="43" t="s">
        <v>916</v>
      </c>
      <c r="D114" s="52" t="s">
        <v>917</v>
      </c>
      <c r="E114" s="43" t="s">
        <v>16</v>
      </c>
      <c r="F114" s="43" t="s">
        <v>918</v>
      </c>
      <c r="G114" s="43" t="s">
        <v>733</v>
      </c>
      <c r="H114" s="23" t="s">
        <v>289</v>
      </c>
      <c r="J114" s="11" t="s">
        <v>835</v>
      </c>
      <c r="L114" s="5" t="s">
        <v>392</v>
      </c>
      <c r="M114" s="8">
        <f>COUNTA($B$2:B113)/175</f>
        <v>0.64</v>
      </c>
    </row>
    <row r="115" spans="1:13" ht="15.75" customHeight="1" x14ac:dyDescent="0.3">
      <c r="A115">
        <v>3</v>
      </c>
      <c r="B115">
        <v>115</v>
      </c>
      <c r="C115" s="43" t="s">
        <v>919</v>
      </c>
      <c r="D115" s="52" t="s">
        <v>920</v>
      </c>
      <c r="E115" s="43" t="s">
        <v>5</v>
      </c>
      <c r="F115" s="43" t="s">
        <v>921</v>
      </c>
      <c r="G115" s="43" t="s">
        <v>733</v>
      </c>
      <c r="J115" s="11" t="s">
        <v>835</v>
      </c>
      <c r="L115" s="5" t="s">
        <v>392</v>
      </c>
      <c r="M115" s="8">
        <f>COUNTA($B$2:B114)/175</f>
        <v>0.64571428571428569</v>
      </c>
    </row>
    <row r="116" spans="1:13" ht="15.75" customHeight="1" x14ac:dyDescent="0.3">
      <c r="A116">
        <v>4</v>
      </c>
      <c r="B116">
        <v>116</v>
      </c>
      <c r="C116" s="44" t="s">
        <v>923</v>
      </c>
      <c r="D116" s="52" t="s">
        <v>924</v>
      </c>
      <c r="E116" s="44" t="s">
        <v>925</v>
      </c>
      <c r="F116" s="44" t="s">
        <v>926</v>
      </c>
      <c r="G116" s="44" t="s">
        <v>733</v>
      </c>
      <c r="H116" s="23" t="s">
        <v>289</v>
      </c>
      <c r="J116" s="11" t="s">
        <v>837</v>
      </c>
      <c r="L116" s="5" t="s">
        <v>392</v>
      </c>
      <c r="M116" s="8">
        <f>COUNTA($B$2:B115)/175</f>
        <v>0.65142857142857147</v>
      </c>
    </row>
    <row r="117" spans="1:13" ht="15.75" customHeight="1" x14ac:dyDescent="0.3">
      <c r="A117">
        <v>1</v>
      </c>
      <c r="B117">
        <v>117</v>
      </c>
      <c r="C117" s="44" t="s">
        <v>927</v>
      </c>
      <c r="D117" s="52" t="s">
        <v>928</v>
      </c>
      <c r="E117" s="44" t="s">
        <v>929</v>
      </c>
      <c r="F117" s="44" t="s">
        <v>930</v>
      </c>
      <c r="G117" s="44" t="s">
        <v>733</v>
      </c>
      <c r="H117" s="23" t="s">
        <v>289</v>
      </c>
      <c r="J117" s="11" t="s">
        <v>837</v>
      </c>
      <c r="L117" s="5" t="s">
        <v>392</v>
      </c>
      <c r="M117" s="8">
        <f>COUNTA($B$2:B116)/175</f>
        <v>0.65714285714285714</v>
      </c>
    </row>
    <row r="118" spans="1:13" ht="15.75" customHeight="1" x14ac:dyDescent="0.3">
      <c r="A118">
        <v>2</v>
      </c>
      <c r="B118">
        <v>118</v>
      </c>
      <c r="C118" s="44" t="s">
        <v>931</v>
      </c>
      <c r="D118" s="52" t="s">
        <v>932</v>
      </c>
      <c r="E118" s="44" t="s">
        <v>933</v>
      </c>
      <c r="F118" s="44" t="s">
        <v>934</v>
      </c>
      <c r="G118" s="44" t="s">
        <v>466</v>
      </c>
      <c r="J118" s="11" t="s">
        <v>837</v>
      </c>
      <c r="L118" s="5" t="s">
        <v>392</v>
      </c>
      <c r="M118" s="8">
        <f>COUNTA($B$2:B117)/175</f>
        <v>0.66285714285714281</v>
      </c>
    </row>
    <row r="119" spans="1:13" ht="15.75" customHeight="1" x14ac:dyDescent="0.3">
      <c r="A119">
        <v>3</v>
      </c>
      <c r="B119">
        <v>119</v>
      </c>
      <c r="C119" s="45" t="s">
        <v>935</v>
      </c>
      <c r="D119" s="52" t="s">
        <v>936</v>
      </c>
      <c r="E119" s="45" t="s">
        <v>8</v>
      </c>
      <c r="F119" s="45" t="s">
        <v>937</v>
      </c>
      <c r="G119" s="45" t="s">
        <v>733</v>
      </c>
      <c r="J119" s="11" t="s">
        <v>922</v>
      </c>
      <c r="L119" s="5" t="s">
        <v>392</v>
      </c>
      <c r="M119" s="8">
        <f>COUNTA($B$2:B118)/175</f>
        <v>0.66857142857142859</v>
      </c>
    </row>
    <row r="120" spans="1:13" ht="15.75" customHeight="1" x14ac:dyDescent="0.3">
      <c r="A120">
        <v>4</v>
      </c>
      <c r="B120">
        <v>120</v>
      </c>
      <c r="C120" s="45" t="s">
        <v>938</v>
      </c>
      <c r="D120" s="52" t="s">
        <v>939</v>
      </c>
      <c r="E120" s="45" t="s">
        <v>11</v>
      </c>
      <c r="F120" s="45" t="s">
        <v>940</v>
      </c>
      <c r="G120" s="45" t="s">
        <v>744</v>
      </c>
      <c r="H120" s="23" t="s">
        <v>289</v>
      </c>
      <c r="J120" s="11" t="s">
        <v>839</v>
      </c>
      <c r="L120" s="5" t="s">
        <v>392</v>
      </c>
      <c r="M120" s="8">
        <f>COUNTA($B$2:B119)/175</f>
        <v>0.67428571428571427</v>
      </c>
    </row>
    <row r="121" spans="1:13" ht="15.75" customHeight="1" x14ac:dyDescent="0.3">
      <c r="A121">
        <v>5</v>
      </c>
      <c r="B121">
        <v>121</v>
      </c>
      <c r="C121" s="45" t="s">
        <v>941</v>
      </c>
      <c r="D121" s="52" t="s">
        <v>942</v>
      </c>
      <c r="E121" s="45" t="s">
        <v>8</v>
      </c>
      <c r="F121" s="45" t="s">
        <v>943</v>
      </c>
      <c r="G121" s="45" t="s">
        <v>733</v>
      </c>
      <c r="J121" s="11" t="s">
        <v>839</v>
      </c>
      <c r="L121" s="5" t="s">
        <v>392</v>
      </c>
      <c r="M121" s="8">
        <f>COUNTA($B$2:B120)/175</f>
        <v>0.68</v>
      </c>
    </row>
    <row r="122" spans="1:13" ht="15.75" customHeight="1" x14ac:dyDescent="0.3">
      <c r="A122">
        <v>6</v>
      </c>
      <c r="B122">
        <v>122</v>
      </c>
      <c r="C122" s="45" t="s">
        <v>944</v>
      </c>
      <c r="D122" s="52" t="s">
        <v>945</v>
      </c>
      <c r="E122" s="45" t="s">
        <v>16</v>
      </c>
      <c r="F122" s="45" t="s">
        <v>946</v>
      </c>
      <c r="G122" s="45" t="s">
        <v>470</v>
      </c>
      <c r="J122" s="11" t="s">
        <v>839</v>
      </c>
      <c r="L122" s="5" t="s">
        <v>392</v>
      </c>
      <c r="M122" s="8">
        <f>COUNTA($B$2:B121)/175</f>
        <v>0.68571428571428572</v>
      </c>
    </row>
    <row r="123" spans="1:13" ht="15.75" customHeight="1" x14ac:dyDescent="0.25">
      <c r="A123">
        <v>7</v>
      </c>
      <c r="B123">
        <v>123</v>
      </c>
      <c r="C123" s="12" t="s">
        <v>947</v>
      </c>
      <c r="D123" s="49" t="s">
        <v>948</v>
      </c>
      <c r="E123" s="12" t="s">
        <v>8</v>
      </c>
      <c r="F123" s="12" t="s">
        <v>949</v>
      </c>
      <c r="G123" s="12" t="s">
        <v>470</v>
      </c>
      <c r="J123" s="11" t="s">
        <v>840</v>
      </c>
      <c r="L123" s="5" t="s">
        <v>392</v>
      </c>
      <c r="M123" s="8">
        <f>COUNTA($B$2:B122)/175</f>
        <v>0.69142857142857139</v>
      </c>
    </row>
    <row r="124" spans="1:13" ht="15.75" customHeight="1" x14ac:dyDescent="0.25">
      <c r="A124">
        <v>8</v>
      </c>
      <c r="B124">
        <v>124</v>
      </c>
      <c r="C124" s="12" t="s">
        <v>950</v>
      </c>
      <c r="D124" s="49" t="s">
        <v>951</v>
      </c>
      <c r="E124" s="12" t="s">
        <v>16</v>
      </c>
      <c r="F124" s="12" t="s">
        <v>952</v>
      </c>
      <c r="G124" s="12" t="s">
        <v>466</v>
      </c>
      <c r="H124" s="12"/>
      <c r="J124" s="11" t="s">
        <v>840</v>
      </c>
      <c r="L124" s="5" t="s">
        <v>392</v>
      </c>
      <c r="M124" s="8">
        <f>COUNTA($B$2:B123)/175</f>
        <v>0.69714285714285718</v>
      </c>
    </row>
    <row r="125" spans="1:13" ht="15.75" customHeight="1" x14ac:dyDescent="0.25">
      <c r="A125">
        <v>9</v>
      </c>
      <c r="B125">
        <v>125</v>
      </c>
      <c r="C125" s="12" t="s">
        <v>953</v>
      </c>
      <c r="D125" s="49" t="s">
        <v>954</v>
      </c>
      <c r="E125" s="12" t="s">
        <v>16</v>
      </c>
      <c r="F125" s="12" t="s">
        <v>955</v>
      </c>
      <c r="G125" s="12" t="s">
        <v>470</v>
      </c>
      <c r="H125" s="12"/>
      <c r="J125" s="11" t="s">
        <v>840</v>
      </c>
      <c r="L125" s="5" t="s">
        <v>392</v>
      </c>
      <c r="M125" s="8">
        <f>COUNTA($B$2:B124)/175</f>
        <v>0.70285714285714285</v>
      </c>
    </row>
    <row r="126" spans="1:13" ht="15.75" customHeight="1" x14ac:dyDescent="0.3">
      <c r="A126">
        <v>1</v>
      </c>
      <c r="B126">
        <v>126</v>
      </c>
      <c r="C126" s="12" t="s">
        <v>956</v>
      </c>
      <c r="D126" s="49" t="s">
        <v>957</v>
      </c>
      <c r="E126" s="12" t="s">
        <v>8</v>
      </c>
      <c r="F126" s="12" t="s">
        <v>958</v>
      </c>
      <c r="G126" s="12" t="s">
        <v>462</v>
      </c>
      <c r="H126" s="23" t="s">
        <v>289</v>
      </c>
      <c r="J126" s="11" t="s">
        <v>841</v>
      </c>
      <c r="L126" s="5" t="s">
        <v>392</v>
      </c>
      <c r="M126" s="8">
        <f>COUNTA($B$2:B125)/175</f>
        <v>0.70857142857142852</v>
      </c>
    </row>
    <row r="127" spans="1:13" ht="15.75" customHeight="1" x14ac:dyDescent="0.25">
      <c r="A127">
        <v>2</v>
      </c>
      <c r="B127">
        <v>127</v>
      </c>
      <c r="C127" s="12" t="s">
        <v>959</v>
      </c>
      <c r="D127" s="49" t="s">
        <v>960</v>
      </c>
      <c r="E127" s="12" t="s">
        <v>16</v>
      </c>
      <c r="F127" s="12" t="s">
        <v>961</v>
      </c>
      <c r="G127" s="12" t="s">
        <v>466</v>
      </c>
      <c r="H127" s="12"/>
      <c r="J127" s="11" t="s">
        <v>841</v>
      </c>
      <c r="L127" s="5" t="s">
        <v>392</v>
      </c>
      <c r="M127" s="8">
        <f>COUNTA($B$2:B126)/175</f>
        <v>0.7142857142857143</v>
      </c>
    </row>
    <row r="128" spans="1:13" ht="15.75" customHeight="1" x14ac:dyDescent="0.25">
      <c r="A128">
        <v>3</v>
      </c>
      <c r="B128">
        <v>128</v>
      </c>
      <c r="C128" s="12" t="s">
        <v>962</v>
      </c>
      <c r="D128" s="49" t="s">
        <v>963</v>
      </c>
      <c r="E128" s="12" t="s">
        <v>5</v>
      </c>
      <c r="F128" s="12" t="s">
        <v>964</v>
      </c>
      <c r="G128" s="12" t="s">
        <v>466</v>
      </c>
      <c r="H128" s="12"/>
      <c r="J128" s="11" t="s">
        <v>841</v>
      </c>
      <c r="L128" s="5" t="s">
        <v>392</v>
      </c>
      <c r="M128" s="8">
        <f>COUNTA($B$2:B127)/175</f>
        <v>0.72</v>
      </c>
    </row>
    <row r="129" spans="1:13" ht="15.75" customHeight="1" x14ac:dyDescent="0.3">
      <c r="A129">
        <v>1</v>
      </c>
      <c r="B129">
        <v>129</v>
      </c>
      <c r="C129" s="12" t="s">
        <v>965</v>
      </c>
      <c r="D129" s="49" t="s">
        <v>966</v>
      </c>
      <c r="E129" s="12" t="s">
        <v>8</v>
      </c>
      <c r="F129" s="12" t="s">
        <v>967</v>
      </c>
      <c r="G129" s="12" t="s">
        <v>462</v>
      </c>
      <c r="H129" s="23" t="s">
        <v>289</v>
      </c>
      <c r="J129" s="11" t="s">
        <v>841</v>
      </c>
      <c r="L129" s="5" t="s">
        <v>392</v>
      </c>
      <c r="M129" s="8">
        <f>COUNTA($B$2:B128)/175</f>
        <v>0.72571428571428576</v>
      </c>
    </row>
    <row r="130" spans="1:13" ht="15.75" customHeight="1" x14ac:dyDescent="0.3">
      <c r="A130">
        <v>1</v>
      </c>
      <c r="B130">
        <v>130</v>
      </c>
      <c r="C130" s="12" t="s">
        <v>968</v>
      </c>
      <c r="D130" s="49" t="s">
        <v>969</v>
      </c>
      <c r="E130" s="12" t="s">
        <v>11</v>
      </c>
      <c r="F130" s="12" t="s">
        <v>970</v>
      </c>
      <c r="G130" s="12" t="s">
        <v>509</v>
      </c>
      <c r="H130" s="23" t="s">
        <v>289</v>
      </c>
      <c r="J130" s="11" t="s">
        <v>841</v>
      </c>
      <c r="L130" s="5" t="s">
        <v>392</v>
      </c>
      <c r="M130" s="8">
        <f>COUNTA($B$2:B129)/175</f>
        <v>0.73142857142857143</v>
      </c>
    </row>
    <row r="131" spans="1:13" ht="15.75" customHeight="1" x14ac:dyDescent="0.25">
      <c r="A131">
        <v>2</v>
      </c>
      <c r="B131">
        <v>131</v>
      </c>
      <c r="J131" s="11" t="s">
        <v>842</v>
      </c>
      <c r="L131" s="5" t="s">
        <v>392</v>
      </c>
      <c r="M131" s="8">
        <f>COUNTA($B$2:B130)/175</f>
        <v>0.7371428571428571</v>
      </c>
    </row>
    <row r="132" spans="1:13" ht="15.75" customHeight="1" x14ac:dyDescent="0.25">
      <c r="A132">
        <v>3</v>
      </c>
      <c r="B132">
        <v>132</v>
      </c>
      <c r="J132" s="11" t="s">
        <v>842</v>
      </c>
      <c r="L132" s="5" t="s">
        <v>392</v>
      </c>
      <c r="M132" s="8">
        <f>COUNTA($B$2:B131)/175</f>
        <v>0.74285714285714288</v>
      </c>
    </row>
    <row r="133" spans="1:13" ht="15.75" customHeight="1" x14ac:dyDescent="0.25">
      <c r="A133">
        <v>1</v>
      </c>
      <c r="B133">
        <v>133</v>
      </c>
      <c r="J133" s="11" t="s">
        <v>842</v>
      </c>
      <c r="L133" s="5" t="s">
        <v>392</v>
      </c>
      <c r="M133" s="8">
        <f>COUNTA($B$2:B132)/175</f>
        <v>0.74857142857142855</v>
      </c>
    </row>
    <row r="134" spans="1:13" ht="15.75" customHeight="1" x14ac:dyDescent="0.25">
      <c r="A134">
        <v>2</v>
      </c>
      <c r="B134">
        <v>134</v>
      </c>
      <c r="J134" s="11" t="s">
        <v>842</v>
      </c>
      <c r="L134" s="5" t="s">
        <v>392</v>
      </c>
      <c r="M134" s="8">
        <f>COUNTA($B$2:B133)/175</f>
        <v>0.75428571428571434</v>
      </c>
    </row>
    <row r="135" spans="1:13" ht="15.75" customHeight="1" x14ac:dyDescent="0.25">
      <c r="A135">
        <v>3</v>
      </c>
      <c r="B135">
        <v>135</v>
      </c>
      <c r="J135" s="11" t="s">
        <v>842</v>
      </c>
      <c r="L135" s="5" t="s">
        <v>392</v>
      </c>
      <c r="M135" s="8">
        <f>COUNTA($B$2:B134)/175</f>
        <v>0.76</v>
      </c>
    </row>
    <row r="136" spans="1:13" ht="15.75" customHeight="1" x14ac:dyDescent="0.25">
      <c r="A136">
        <v>1</v>
      </c>
      <c r="B136">
        <v>136</v>
      </c>
      <c r="J136" s="1" t="s">
        <v>843</v>
      </c>
      <c r="L136" s="5" t="s">
        <v>392</v>
      </c>
      <c r="M136" s="8">
        <f>COUNTA($B$2:B135)/175</f>
        <v>0.76571428571428568</v>
      </c>
    </row>
    <row r="137" spans="1:13" ht="15.75" customHeight="1" x14ac:dyDescent="0.25">
      <c r="A137">
        <v>2</v>
      </c>
      <c r="B137">
        <v>137</v>
      </c>
      <c r="J137" s="1" t="s">
        <v>843</v>
      </c>
      <c r="L137" s="5" t="s">
        <v>392</v>
      </c>
      <c r="M137" s="8">
        <f>COUNTA($B$2:B136)/175</f>
        <v>0.77142857142857146</v>
      </c>
    </row>
    <row r="138" spans="1:13" ht="15.75" customHeight="1" x14ac:dyDescent="0.25">
      <c r="A138">
        <v>3</v>
      </c>
      <c r="B138">
        <v>138</v>
      </c>
      <c r="J138" s="1" t="s">
        <v>843</v>
      </c>
      <c r="L138" s="5" t="s">
        <v>392</v>
      </c>
      <c r="M138" s="8">
        <f>COUNTA($B$2:B137)/175</f>
        <v>0.77714285714285714</v>
      </c>
    </row>
    <row r="139" spans="1:13" ht="15.75" customHeight="1" x14ac:dyDescent="0.25">
      <c r="A139">
        <v>4</v>
      </c>
      <c r="B139">
        <v>139</v>
      </c>
      <c r="J139" s="1" t="s">
        <v>843</v>
      </c>
      <c r="L139" s="5" t="s">
        <v>392</v>
      </c>
      <c r="M139" s="8">
        <f>COUNTA($B$2:B138)/175</f>
        <v>0.78285714285714281</v>
      </c>
    </row>
    <row r="140" spans="1:13" ht="15.75" customHeight="1" x14ac:dyDescent="0.25">
      <c r="A140">
        <v>5</v>
      </c>
      <c r="B140">
        <v>140</v>
      </c>
      <c r="J140" s="1" t="s">
        <v>843</v>
      </c>
      <c r="L140" s="5" t="s">
        <v>392</v>
      </c>
      <c r="M140" s="8">
        <f>COUNTA($B$2:B139)/175</f>
        <v>0.78857142857142859</v>
      </c>
    </row>
    <row r="141" spans="1:13" ht="15.75" customHeight="1" x14ac:dyDescent="0.3">
      <c r="A141">
        <v>1</v>
      </c>
      <c r="B141">
        <v>141</v>
      </c>
      <c r="J141" s="1" t="s">
        <v>843</v>
      </c>
      <c r="L141" s="5" t="s">
        <v>392</v>
      </c>
      <c r="M141" s="10">
        <f>COUNTA($B$2:B140)/175</f>
        <v>0.79428571428571426</v>
      </c>
    </row>
    <row r="142" spans="1:13" ht="15.75" customHeight="1" x14ac:dyDescent="0.3">
      <c r="A142">
        <v>2</v>
      </c>
      <c r="B142">
        <v>142</v>
      </c>
      <c r="C142" s="13"/>
      <c r="D142" s="48"/>
      <c r="E142" s="13"/>
      <c r="F142" s="13"/>
      <c r="G142" s="1"/>
      <c r="H142" s="14"/>
      <c r="I142" s="14"/>
      <c r="J142" s="1" t="s">
        <v>843</v>
      </c>
      <c r="L142" s="5" t="s">
        <v>392</v>
      </c>
      <c r="M142" s="8">
        <f>COUNTA($B$2:B141)/175</f>
        <v>0.8</v>
      </c>
    </row>
    <row r="143" spans="1:13" ht="15.75" customHeight="1" x14ac:dyDescent="0.3">
      <c r="A143">
        <v>3</v>
      </c>
      <c r="B143">
        <v>143</v>
      </c>
      <c r="C143" s="13"/>
      <c r="D143" s="48"/>
      <c r="E143" s="13"/>
      <c r="F143" s="13"/>
      <c r="G143" s="1"/>
      <c r="H143" s="14"/>
      <c r="I143" s="14"/>
      <c r="J143" s="11" t="s">
        <v>971</v>
      </c>
      <c r="L143" s="5" t="s">
        <v>392</v>
      </c>
      <c r="M143" s="8">
        <f>COUNTA($B$2:B142)/175</f>
        <v>0.80571428571428572</v>
      </c>
    </row>
    <row r="144" spans="1:13" ht="15.75" customHeight="1" x14ac:dyDescent="0.3">
      <c r="A144">
        <v>4</v>
      </c>
      <c r="B144">
        <v>144</v>
      </c>
      <c r="C144" s="13"/>
      <c r="D144" s="48"/>
      <c r="E144" s="13"/>
      <c r="F144" s="13"/>
      <c r="G144" s="1"/>
      <c r="H144" s="6"/>
      <c r="I144" s="6"/>
      <c r="J144" s="11" t="s">
        <v>971</v>
      </c>
      <c r="L144" s="5" t="s">
        <v>392</v>
      </c>
      <c r="M144" s="8">
        <f>COUNTA($B$2:B143)/175</f>
        <v>0.81142857142857139</v>
      </c>
    </row>
    <row r="145" spans="1:13" ht="15.75" customHeight="1" x14ac:dyDescent="0.3">
      <c r="A145">
        <v>5</v>
      </c>
      <c r="B145">
        <v>145</v>
      </c>
      <c r="C145" s="13"/>
      <c r="D145" s="48"/>
      <c r="E145" s="13"/>
      <c r="F145" s="13"/>
      <c r="G145" s="1"/>
      <c r="H145" s="14"/>
      <c r="I145" s="14"/>
      <c r="J145" s="11" t="s">
        <v>971</v>
      </c>
      <c r="L145" s="5" t="s">
        <v>392</v>
      </c>
      <c r="M145" s="8">
        <f>COUNTA($B$2:B144)/175</f>
        <v>0.81714285714285717</v>
      </c>
    </row>
    <row r="146" spans="1:13" ht="15.75" customHeight="1" x14ac:dyDescent="0.3">
      <c r="A146">
        <v>1</v>
      </c>
      <c r="B146">
        <v>146</v>
      </c>
      <c r="C146" s="13"/>
      <c r="D146" s="48"/>
      <c r="E146" s="13"/>
      <c r="F146" s="13"/>
      <c r="G146" s="13"/>
      <c r="H146" s="14"/>
      <c r="I146" s="14"/>
      <c r="J146" s="11" t="s">
        <v>972</v>
      </c>
      <c r="L146" s="5" t="s">
        <v>392</v>
      </c>
      <c r="M146" s="8">
        <f>COUNTA($B$2:B145)/175</f>
        <v>0.82285714285714284</v>
      </c>
    </row>
    <row r="147" spans="1:13" ht="15.75" customHeight="1" x14ac:dyDescent="0.3">
      <c r="A147">
        <v>2</v>
      </c>
      <c r="B147">
        <v>147</v>
      </c>
      <c r="C147" s="13"/>
      <c r="D147" s="48"/>
      <c r="E147" s="13"/>
      <c r="F147" s="13"/>
      <c r="G147" s="1"/>
      <c r="H147" s="14"/>
      <c r="I147" s="14"/>
      <c r="J147" s="11" t="s">
        <v>972</v>
      </c>
      <c r="L147" s="5" t="s">
        <v>392</v>
      </c>
      <c r="M147" s="8">
        <f>COUNTA($B$2:B146)/175</f>
        <v>0.82857142857142863</v>
      </c>
    </row>
    <row r="148" spans="1:13" ht="15.75" customHeight="1" x14ac:dyDescent="0.3">
      <c r="A148">
        <v>3</v>
      </c>
      <c r="B148">
        <v>148</v>
      </c>
      <c r="C148" s="13"/>
      <c r="D148" s="48"/>
      <c r="E148" s="13"/>
      <c r="F148" s="13"/>
      <c r="G148" s="1"/>
      <c r="J148" s="11" t="s">
        <v>972</v>
      </c>
      <c r="L148" s="5" t="s">
        <v>392</v>
      </c>
      <c r="M148" s="8">
        <f>COUNTA($B$2:B147)/175</f>
        <v>0.8342857142857143</v>
      </c>
    </row>
    <row r="149" spans="1:13" ht="15.75" customHeight="1" x14ac:dyDescent="0.3">
      <c r="A149">
        <v>4</v>
      </c>
      <c r="B149">
        <v>149</v>
      </c>
      <c r="C149" s="15"/>
      <c r="D149" s="48"/>
      <c r="E149" s="15"/>
      <c r="F149" s="15"/>
      <c r="G149" s="1"/>
      <c r="J149" s="11" t="s">
        <v>973</v>
      </c>
      <c r="L149" s="5" t="s">
        <v>392</v>
      </c>
      <c r="M149" s="8">
        <f>COUNTA($B$2:B148)/175</f>
        <v>0.84</v>
      </c>
    </row>
    <row r="150" spans="1:13" ht="15.75" customHeight="1" x14ac:dyDescent="0.25">
      <c r="A150">
        <v>5</v>
      </c>
      <c r="B150">
        <v>150</v>
      </c>
      <c r="L150" s="5" t="s">
        <v>392</v>
      </c>
      <c r="M150" s="8">
        <f>COUNTA($B$2:B149)/175</f>
        <v>0.84571428571428575</v>
      </c>
    </row>
    <row r="151" spans="1:13" ht="15.75" customHeight="1" x14ac:dyDescent="0.25">
      <c r="A151">
        <v>6</v>
      </c>
      <c r="B151">
        <v>151</v>
      </c>
      <c r="L151" s="5" t="s">
        <v>392</v>
      </c>
      <c r="M151" s="8">
        <f>COUNTA($B$2:B150)/175</f>
        <v>0.85142857142857142</v>
      </c>
    </row>
    <row r="152" spans="1:13" ht="15.75" customHeight="1" x14ac:dyDescent="0.25">
      <c r="A152">
        <v>7</v>
      </c>
      <c r="B152">
        <v>152</v>
      </c>
      <c r="L152" s="5" t="s">
        <v>392</v>
      </c>
      <c r="M152" s="8">
        <f>COUNTA($B$2:B151)/175</f>
        <v>0.8571428571428571</v>
      </c>
    </row>
    <row r="153" spans="1:13" ht="15.75" customHeight="1" x14ac:dyDescent="0.25">
      <c r="A153">
        <v>1</v>
      </c>
      <c r="B153">
        <v>153</v>
      </c>
      <c r="L153" s="5" t="s">
        <v>392</v>
      </c>
      <c r="M153" s="8">
        <f>COUNTA($B$2:B152)/175</f>
        <v>0.86285714285714288</v>
      </c>
    </row>
    <row r="154" spans="1:13" ht="15.75" customHeight="1" x14ac:dyDescent="0.25">
      <c r="A154">
        <v>2</v>
      </c>
      <c r="B154">
        <v>154</v>
      </c>
      <c r="L154" s="5" t="s">
        <v>392</v>
      </c>
      <c r="M154" s="8">
        <f>COUNTA($B$2:B153)/175</f>
        <v>0.86857142857142855</v>
      </c>
    </row>
    <row r="155" spans="1:13" ht="15.75" customHeight="1" x14ac:dyDescent="0.25">
      <c r="A155">
        <v>3</v>
      </c>
      <c r="B155">
        <v>155</v>
      </c>
      <c r="L155" s="5" t="s">
        <v>392</v>
      </c>
      <c r="M155" s="8">
        <f>COUNTA($B$2:B154)/175</f>
        <v>0.87428571428571433</v>
      </c>
    </row>
    <row r="156" spans="1:13" ht="15.75" customHeight="1" x14ac:dyDescent="0.25">
      <c r="A156">
        <v>1</v>
      </c>
      <c r="B156">
        <v>156</v>
      </c>
      <c r="L156" s="5" t="s">
        <v>392</v>
      </c>
      <c r="M156" s="8">
        <f>COUNTA($B$2:B155)/175</f>
        <v>0.88</v>
      </c>
    </row>
    <row r="157" spans="1:13" ht="15.75" customHeight="1" x14ac:dyDescent="0.25">
      <c r="A157">
        <v>2</v>
      </c>
      <c r="B157">
        <v>157</v>
      </c>
      <c r="L157" s="5" t="s">
        <v>392</v>
      </c>
      <c r="M157" s="8">
        <f>COUNTA($B$2:B156)/175</f>
        <v>0.88571428571428568</v>
      </c>
    </row>
    <row r="158" spans="1:13" ht="15.75" customHeight="1" x14ac:dyDescent="0.25">
      <c r="A158">
        <v>3</v>
      </c>
      <c r="B158">
        <v>158</v>
      </c>
      <c r="L158" s="5" t="s">
        <v>392</v>
      </c>
      <c r="M158" s="8">
        <f>COUNTA($B$2:B157)/175</f>
        <v>0.89142857142857146</v>
      </c>
    </row>
    <row r="159" spans="1:13" ht="15.75" customHeight="1" x14ac:dyDescent="0.25">
      <c r="A159">
        <v>4</v>
      </c>
      <c r="B159">
        <v>159</v>
      </c>
      <c r="L159" s="5" t="s">
        <v>392</v>
      </c>
      <c r="M159" s="8">
        <f>COUNTA($B$2:B158)/175</f>
        <v>0.89714285714285713</v>
      </c>
    </row>
    <row r="160" spans="1:13" ht="15.75" customHeight="1" x14ac:dyDescent="0.3">
      <c r="A160">
        <v>1</v>
      </c>
      <c r="C160" s="15"/>
      <c r="D160" s="48"/>
      <c r="E160" s="15"/>
      <c r="F160" s="15"/>
      <c r="G160" s="1"/>
      <c r="H160" s="14"/>
      <c r="I160" s="14"/>
      <c r="J160" s="1"/>
      <c r="L160" s="5" t="s">
        <v>392</v>
      </c>
      <c r="M160" s="8">
        <f>COUNTA($B$2:B159)/175</f>
        <v>0.9028571428571428</v>
      </c>
    </row>
    <row r="161" spans="3:13" ht="15.75" customHeight="1" x14ac:dyDescent="0.3">
      <c r="C161" s="15"/>
      <c r="D161" s="48"/>
      <c r="E161" s="15"/>
      <c r="F161" s="15"/>
      <c r="G161" s="1"/>
      <c r="H161" s="14"/>
      <c r="I161" s="14"/>
      <c r="J161" s="1"/>
      <c r="L161" s="5"/>
    </row>
    <row r="162" spans="3:13" ht="15.75" customHeight="1" x14ac:dyDescent="0.3">
      <c r="C162" s="15"/>
      <c r="D162" s="48"/>
      <c r="E162" s="15"/>
      <c r="F162" s="15"/>
      <c r="G162" s="1"/>
      <c r="J162" s="1"/>
      <c r="L162" s="5"/>
    </row>
    <row r="163" spans="3:13" ht="15.75" customHeight="1" x14ac:dyDescent="0.3">
      <c r="C163" s="15"/>
      <c r="D163" s="48"/>
      <c r="E163" s="15"/>
      <c r="F163" s="15"/>
      <c r="G163" s="1"/>
      <c r="H163" s="14"/>
      <c r="I163" s="14"/>
      <c r="J163" s="1"/>
      <c r="L163" s="5"/>
    </row>
    <row r="164" spans="3:13" ht="15.75" customHeight="1" x14ac:dyDescent="0.25">
      <c r="L164" s="5"/>
    </row>
    <row r="165" spans="3:13" ht="15.75" customHeight="1" x14ac:dyDescent="0.25">
      <c r="L165" s="5"/>
    </row>
    <row r="166" spans="3:13" ht="15.75" customHeight="1" x14ac:dyDescent="0.25">
      <c r="L166" s="5"/>
    </row>
    <row r="167" spans="3:13" ht="15.75" customHeight="1" x14ac:dyDescent="0.25">
      <c r="L167" s="5"/>
    </row>
    <row r="168" spans="3:13" ht="15.75" customHeight="1" x14ac:dyDescent="0.25">
      <c r="L168" s="5"/>
    </row>
    <row r="169" spans="3:13" ht="15.75" customHeight="1" x14ac:dyDescent="0.25">
      <c r="L169" s="5"/>
    </row>
    <row r="170" spans="3:13" ht="15.75" customHeight="1" x14ac:dyDescent="0.25">
      <c r="L170" s="5"/>
    </row>
    <row r="171" spans="3:13" ht="15.75" customHeight="1" x14ac:dyDescent="0.25">
      <c r="L171" s="5"/>
    </row>
    <row r="172" spans="3:13" ht="15.75" customHeight="1" x14ac:dyDescent="0.25">
      <c r="J172" s="11"/>
      <c r="L172" s="5"/>
    </row>
    <row r="173" spans="3:13" ht="15.75" customHeight="1" x14ac:dyDescent="0.25">
      <c r="J173" s="11"/>
      <c r="L173" s="5"/>
    </row>
    <row r="174" spans="3:13" ht="15.75" customHeight="1" x14ac:dyDescent="0.25">
      <c r="J174" s="11"/>
      <c r="L174" s="5"/>
    </row>
    <row r="175" spans="3:13" ht="15.75" customHeight="1" x14ac:dyDescent="0.25">
      <c r="J175" s="11"/>
      <c r="L175" s="5"/>
    </row>
    <row r="176" spans="3:13" ht="15.75" customHeight="1" x14ac:dyDescent="0.3">
      <c r="J176" s="11"/>
      <c r="L176" s="5"/>
      <c r="M176" s="10"/>
    </row>
  </sheetData>
  <phoneticPr fontId="1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1274-8551-42CE-B5B4-AA494BA78978}">
  <sheetPr>
    <outlinePr summaryBelow="0" summaryRight="0"/>
  </sheetPr>
  <dimension ref="B1:N176"/>
  <sheetViews>
    <sheetView topLeftCell="B1" workbookViewId="0">
      <selection activeCell="K19" sqref="K19:K28"/>
    </sheetView>
  </sheetViews>
  <sheetFormatPr defaultColWidth="12.54296875" defaultRowHeight="15.75" customHeight="1" x14ac:dyDescent="0.25"/>
  <cols>
    <col min="1" max="1" width="3" customWidth="1"/>
    <col min="2" max="2" width="3.81640625" bestFit="1" customWidth="1"/>
    <col min="3" max="3" width="43.81640625" customWidth="1"/>
    <col min="4" max="4" width="52.26953125" customWidth="1"/>
    <col min="5" max="5" width="6.81640625" bestFit="1" customWidth="1"/>
    <col min="6" max="6" width="35.26953125" customWidth="1"/>
    <col min="7" max="7" width="17.81640625" bestFit="1" customWidth="1"/>
    <col min="8" max="8" width="17.81640625" customWidth="1"/>
    <col min="10" max="10" width="24.1796875" customWidth="1"/>
    <col min="11" max="11" width="14.1796875" customWidth="1"/>
    <col min="12" max="12" width="12.54296875" style="8"/>
  </cols>
  <sheetData>
    <row r="1" spans="2:14" ht="15.75" customHeight="1" x14ac:dyDescent="0.25">
      <c r="B1" t="s">
        <v>163</v>
      </c>
      <c r="C1" s="1" t="s">
        <v>0</v>
      </c>
      <c r="D1" s="1" t="s">
        <v>1</v>
      </c>
      <c r="E1" s="1" t="s">
        <v>2</v>
      </c>
      <c r="F1" s="1" t="s">
        <v>3</v>
      </c>
      <c r="G1" s="1" t="s">
        <v>179</v>
      </c>
      <c r="H1" s="1" t="s">
        <v>397</v>
      </c>
      <c r="I1" s="1" t="s">
        <v>263</v>
      </c>
      <c r="J1" s="1" t="s">
        <v>264</v>
      </c>
      <c r="K1" s="1" t="s">
        <v>265</v>
      </c>
      <c r="L1" s="7" t="s">
        <v>280</v>
      </c>
      <c r="M1" s="5" t="s">
        <v>283</v>
      </c>
      <c r="N1" s="5" t="s">
        <v>284</v>
      </c>
    </row>
    <row r="2" spans="2:14" ht="15.75" customHeight="1" x14ac:dyDescent="0.25">
      <c r="B2">
        <v>1</v>
      </c>
      <c r="C2" s="6" t="s">
        <v>452</v>
      </c>
      <c r="D2" s="6" t="s">
        <v>453</v>
      </c>
      <c r="E2" s="1" t="s">
        <v>16</v>
      </c>
      <c r="F2" s="6" t="s">
        <v>454</v>
      </c>
      <c r="G2" s="1" t="s">
        <v>214</v>
      </c>
      <c r="H2" s="6" t="s">
        <v>455</v>
      </c>
      <c r="K2" s="5" t="s">
        <v>451</v>
      </c>
      <c r="L2" s="8">
        <f>COUNTA($B$2:B2)/175</f>
        <v>5.7142857142857143E-3</v>
      </c>
      <c r="M2" s="4"/>
      <c r="N2" s="9"/>
    </row>
    <row r="3" spans="2:14" ht="15.75" customHeight="1" x14ac:dyDescent="0.25">
      <c r="B3">
        <v>2</v>
      </c>
      <c r="C3" s="6" t="s">
        <v>456</v>
      </c>
      <c r="D3" s="6" t="s">
        <v>457</v>
      </c>
      <c r="E3" s="1" t="s">
        <v>8</v>
      </c>
      <c r="F3" s="6" t="s">
        <v>458</v>
      </c>
      <c r="G3" s="1" t="s">
        <v>214</v>
      </c>
      <c r="H3" s="1"/>
      <c r="K3" s="5" t="s">
        <v>451</v>
      </c>
      <c r="L3" s="8">
        <f>COUNTA($B$2:B3)/175</f>
        <v>1.1428571428571429E-2</v>
      </c>
    </row>
    <row r="4" spans="2:14" ht="15.75" customHeight="1" x14ac:dyDescent="0.25">
      <c r="B4">
        <v>3</v>
      </c>
      <c r="C4" s="12" t="s">
        <v>459</v>
      </c>
      <c r="D4" s="12" t="s">
        <v>460</v>
      </c>
      <c r="E4" s="12" t="s">
        <v>5</v>
      </c>
      <c r="F4" s="12" t="s">
        <v>461</v>
      </c>
      <c r="G4" s="12" t="s">
        <v>462</v>
      </c>
      <c r="I4" s="12" t="s">
        <v>289</v>
      </c>
      <c r="K4" s="5" t="s">
        <v>451</v>
      </c>
      <c r="L4" s="8">
        <f>COUNTA($B$2:B4)/175</f>
        <v>1.7142857142857144E-2</v>
      </c>
    </row>
    <row r="5" spans="2:14" ht="15.75" customHeight="1" x14ac:dyDescent="0.25">
      <c r="B5">
        <v>4</v>
      </c>
      <c r="C5" s="12" t="s">
        <v>463</v>
      </c>
      <c r="D5" s="12" t="s">
        <v>464</v>
      </c>
      <c r="E5" s="12" t="s">
        <v>8</v>
      </c>
      <c r="F5" s="12" t="s">
        <v>465</v>
      </c>
      <c r="G5" s="12" t="s">
        <v>466</v>
      </c>
      <c r="I5" s="12"/>
      <c r="K5" s="5" t="s">
        <v>451</v>
      </c>
      <c r="L5" s="8">
        <f>COUNTA($B$2:B5)/175</f>
        <v>2.2857142857142857E-2</v>
      </c>
    </row>
    <row r="6" spans="2:14" ht="15.75" customHeight="1" x14ac:dyDescent="0.25">
      <c r="B6">
        <v>5</v>
      </c>
      <c r="C6" s="12" t="s">
        <v>467</v>
      </c>
      <c r="D6" s="12" t="s">
        <v>468</v>
      </c>
      <c r="E6" s="12" t="s">
        <v>16</v>
      </c>
      <c r="F6" s="12" t="s">
        <v>469</v>
      </c>
      <c r="G6" s="12" t="s">
        <v>470</v>
      </c>
      <c r="I6" s="12" t="s">
        <v>289</v>
      </c>
      <c r="K6" s="5" t="s">
        <v>451</v>
      </c>
      <c r="L6" s="8">
        <f>COUNTA($B$2:B6)/175</f>
        <v>2.8571428571428571E-2</v>
      </c>
    </row>
    <row r="7" spans="2:14" ht="15.75" customHeight="1" x14ac:dyDescent="0.25">
      <c r="B7">
        <v>6</v>
      </c>
      <c r="C7" s="12" t="s">
        <v>471</v>
      </c>
      <c r="D7" s="12" t="s">
        <v>472</v>
      </c>
      <c r="E7" s="12" t="s">
        <v>11</v>
      </c>
      <c r="F7" s="12" t="s">
        <v>473</v>
      </c>
      <c r="G7" s="12" t="s">
        <v>474</v>
      </c>
      <c r="I7" s="12" t="s">
        <v>289</v>
      </c>
      <c r="K7" s="5" t="s">
        <v>451</v>
      </c>
      <c r="L7" s="8">
        <f>COUNTA($B$2:B7)/175</f>
        <v>3.4285714285714287E-2</v>
      </c>
    </row>
    <row r="8" spans="2:14" ht="15.75" customHeight="1" x14ac:dyDescent="0.25">
      <c r="B8">
        <v>7</v>
      </c>
      <c r="C8" s="12" t="s">
        <v>475</v>
      </c>
      <c r="D8" s="12" t="s">
        <v>476</v>
      </c>
      <c r="E8" s="12" t="s">
        <v>8</v>
      </c>
      <c r="F8" s="12" t="s">
        <v>477</v>
      </c>
      <c r="G8" s="12" t="s">
        <v>474</v>
      </c>
      <c r="I8" s="12"/>
      <c r="K8" s="5" t="s">
        <v>451</v>
      </c>
      <c r="L8" s="8">
        <f>COUNTA($B$2:B8)/175</f>
        <v>0.04</v>
      </c>
    </row>
    <row r="9" spans="2:14" ht="15.75" customHeight="1" x14ac:dyDescent="0.25">
      <c r="B9">
        <v>8</v>
      </c>
      <c r="C9" s="12" t="s">
        <v>478</v>
      </c>
      <c r="D9" s="12" t="s">
        <v>479</v>
      </c>
      <c r="E9" s="12" t="s">
        <v>16</v>
      </c>
      <c r="F9" s="12" t="s">
        <v>480</v>
      </c>
      <c r="G9" s="12" t="s">
        <v>474</v>
      </c>
      <c r="I9" s="12"/>
      <c r="K9" s="5" t="s">
        <v>451</v>
      </c>
      <c r="L9" s="8">
        <f>COUNTA($B$2:B9)/175</f>
        <v>4.5714285714285714E-2</v>
      </c>
    </row>
    <row r="10" spans="2:14" ht="15.75" customHeight="1" x14ac:dyDescent="0.25">
      <c r="B10">
        <v>9</v>
      </c>
      <c r="C10" s="12" t="s">
        <v>481</v>
      </c>
      <c r="D10" s="12" t="s">
        <v>482</v>
      </c>
      <c r="E10" s="12" t="s">
        <v>483</v>
      </c>
      <c r="F10" s="12" t="s">
        <v>484</v>
      </c>
      <c r="G10" s="12" t="s">
        <v>474</v>
      </c>
      <c r="I10" s="12" t="s">
        <v>289</v>
      </c>
      <c r="K10" s="5" t="s">
        <v>451</v>
      </c>
      <c r="L10" s="8">
        <f>COUNTA($B$2:B10)/175</f>
        <v>5.1428571428571428E-2</v>
      </c>
    </row>
    <row r="11" spans="2:14" ht="15.75" customHeight="1" x14ac:dyDescent="0.25">
      <c r="B11">
        <v>10</v>
      </c>
      <c r="C11" s="12" t="s">
        <v>485</v>
      </c>
      <c r="D11" s="12" t="s">
        <v>486</v>
      </c>
      <c r="E11" s="12" t="s">
        <v>16</v>
      </c>
      <c r="F11" s="12" t="s">
        <v>487</v>
      </c>
      <c r="G11" s="12" t="s">
        <v>470</v>
      </c>
      <c r="I11" s="12"/>
      <c r="K11" s="5" t="s">
        <v>451</v>
      </c>
      <c r="L11" s="8">
        <f>COUNTA($B$2:B11)/175</f>
        <v>5.7142857142857141E-2</v>
      </c>
    </row>
    <row r="12" spans="2:14" ht="15.75" customHeight="1" x14ac:dyDescent="0.25">
      <c r="B12">
        <v>11</v>
      </c>
      <c r="C12" s="12" t="s">
        <v>488</v>
      </c>
      <c r="D12" s="12" t="s">
        <v>489</v>
      </c>
      <c r="E12" s="12" t="s">
        <v>11</v>
      </c>
      <c r="F12" s="12" t="s">
        <v>490</v>
      </c>
      <c r="G12" s="12" t="s">
        <v>470</v>
      </c>
      <c r="I12" s="12" t="s">
        <v>289</v>
      </c>
      <c r="K12" s="5" t="s">
        <v>451</v>
      </c>
      <c r="L12" s="8">
        <f>COUNTA($B$2:B12)/175</f>
        <v>6.2857142857142861E-2</v>
      </c>
    </row>
    <row r="13" spans="2:14" ht="15.75" customHeight="1" x14ac:dyDescent="0.25">
      <c r="B13">
        <v>12</v>
      </c>
      <c r="C13" s="12" t="s">
        <v>491</v>
      </c>
      <c r="D13" s="12" t="s">
        <v>492</v>
      </c>
      <c r="E13" s="12" t="s">
        <v>16</v>
      </c>
      <c r="F13" s="12" t="s">
        <v>493</v>
      </c>
      <c r="G13" s="12" t="s">
        <v>474</v>
      </c>
      <c r="I13" s="12"/>
      <c r="J13" s="1"/>
      <c r="K13" s="5" t="s">
        <v>451</v>
      </c>
      <c r="L13" s="8">
        <f>COUNTA($B$2:B13)/175</f>
        <v>6.8571428571428575E-2</v>
      </c>
    </row>
    <row r="14" spans="2:14" ht="15.75" customHeight="1" x14ac:dyDescent="0.25">
      <c r="B14">
        <v>13</v>
      </c>
      <c r="C14" s="12" t="s">
        <v>494</v>
      </c>
      <c r="D14" s="12" t="s">
        <v>495</v>
      </c>
      <c r="E14" s="12" t="s">
        <v>16</v>
      </c>
      <c r="F14" s="12" t="s">
        <v>496</v>
      </c>
      <c r="G14" s="12" t="s">
        <v>470</v>
      </c>
      <c r="I14" s="12" t="s">
        <v>289</v>
      </c>
      <c r="K14" s="5" t="s">
        <v>451</v>
      </c>
      <c r="L14" s="8">
        <f>COUNTA($B$2:B14)/175</f>
        <v>7.4285714285714288E-2</v>
      </c>
    </row>
    <row r="15" spans="2:14" ht="15.75" customHeight="1" x14ac:dyDescent="0.25">
      <c r="B15">
        <v>14</v>
      </c>
      <c r="C15" s="12" t="s">
        <v>497</v>
      </c>
      <c r="D15" s="12" t="s">
        <v>498</v>
      </c>
      <c r="E15" s="12" t="s">
        <v>8</v>
      </c>
      <c r="F15" s="12" t="s">
        <v>499</v>
      </c>
      <c r="G15" s="12" t="s">
        <v>466</v>
      </c>
      <c r="I15" s="12"/>
      <c r="K15" s="5" t="s">
        <v>451</v>
      </c>
      <c r="L15" s="8">
        <f>COUNTA($B$2:B15)/175</f>
        <v>0.08</v>
      </c>
    </row>
    <row r="16" spans="2:14" ht="15.75" customHeight="1" x14ac:dyDescent="0.25">
      <c r="B16">
        <v>15</v>
      </c>
      <c r="C16" s="12" t="s">
        <v>500</v>
      </c>
      <c r="D16" s="12" t="s">
        <v>501</v>
      </c>
      <c r="E16" s="12" t="s">
        <v>5</v>
      </c>
      <c r="F16" s="12" t="s">
        <v>502</v>
      </c>
      <c r="G16" s="12" t="s">
        <v>470</v>
      </c>
      <c r="I16" s="12" t="s">
        <v>289</v>
      </c>
      <c r="K16" s="5" t="s">
        <v>451</v>
      </c>
      <c r="L16" s="8">
        <f>COUNTA($B$2:B16)/175</f>
        <v>8.5714285714285715E-2</v>
      </c>
    </row>
    <row r="17" spans="2:12" ht="15.75" customHeight="1" x14ac:dyDescent="0.25">
      <c r="B17">
        <v>16</v>
      </c>
      <c r="C17" s="12" t="s">
        <v>503</v>
      </c>
      <c r="D17" s="12" t="s">
        <v>504</v>
      </c>
      <c r="E17" s="12" t="s">
        <v>5</v>
      </c>
      <c r="F17" s="12" t="s">
        <v>505</v>
      </c>
      <c r="G17" s="12" t="s">
        <v>462</v>
      </c>
      <c r="I17" s="12"/>
      <c r="K17" s="5" t="s">
        <v>451</v>
      </c>
      <c r="L17" s="8">
        <f>COUNTA($B$2:B17)/175</f>
        <v>9.1428571428571428E-2</v>
      </c>
    </row>
    <row r="18" spans="2:12" ht="15.75" customHeight="1" x14ac:dyDescent="0.25">
      <c r="B18">
        <v>17</v>
      </c>
      <c r="C18" s="12" t="s">
        <v>506</v>
      </c>
      <c r="D18" s="12" t="s">
        <v>507</v>
      </c>
      <c r="E18" s="12" t="s">
        <v>8</v>
      </c>
      <c r="F18" s="12" t="s">
        <v>508</v>
      </c>
      <c r="G18" s="12" t="s">
        <v>466</v>
      </c>
      <c r="I18" s="12"/>
      <c r="K18" s="5" t="s">
        <v>451</v>
      </c>
      <c r="L18" s="8">
        <f>COUNTA($B$2:B18)/175</f>
        <v>9.7142857142857142E-2</v>
      </c>
    </row>
    <row r="19" spans="2:12" ht="15.75" customHeight="1" x14ac:dyDescent="0.3">
      <c r="B19">
        <v>18</v>
      </c>
      <c r="C19" s="18" t="s">
        <v>512</v>
      </c>
      <c r="D19" s="18" t="s">
        <v>513</v>
      </c>
      <c r="E19" s="18" t="s">
        <v>11</v>
      </c>
      <c r="F19" s="18" t="s">
        <v>514</v>
      </c>
      <c r="G19" s="18" t="s">
        <v>470</v>
      </c>
      <c r="H19" s="18"/>
      <c r="I19" s="18"/>
      <c r="J19" s="30" t="s">
        <v>619</v>
      </c>
      <c r="K19" s="5" t="s">
        <v>511</v>
      </c>
    </row>
    <row r="20" spans="2:12" ht="15.75" customHeight="1" x14ac:dyDescent="0.3">
      <c r="B20">
        <v>19</v>
      </c>
      <c r="C20" s="18" t="s">
        <v>515</v>
      </c>
      <c r="D20" s="18" t="s">
        <v>516</v>
      </c>
      <c r="E20" s="18" t="s">
        <v>5</v>
      </c>
      <c r="F20" s="18" t="s">
        <v>517</v>
      </c>
      <c r="G20" s="18" t="s">
        <v>470</v>
      </c>
      <c r="H20" s="18"/>
      <c r="I20" s="18"/>
      <c r="J20" s="30" t="s">
        <v>619</v>
      </c>
      <c r="K20" s="5" t="s">
        <v>511</v>
      </c>
    </row>
    <row r="21" spans="2:12" ht="15.75" customHeight="1" x14ac:dyDescent="0.3">
      <c r="B21">
        <v>20</v>
      </c>
      <c r="C21" s="18" t="s">
        <v>518</v>
      </c>
      <c r="D21" s="18" t="s">
        <v>519</v>
      </c>
      <c r="E21" s="18" t="s">
        <v>8</v>
      </c>
      <c r="F21" s="18" t="s">
        <v>520</v>
      </c>
      <c r="G21" s="18" t="s">
        <v>462</v>
      </c>
      <c r="H21" s="18" t="s">
        <v>289</v>
      </c>
      <c r="I21" s="23" t="s">
        <v>289</v>
      </c>
      <c r="J21" s="30" t="s">
        <v>619</v>
      </c>
      <c r="K21" s="5" t="s">
        <v>511</v>
      </c>
    </row>
    <row r="22" spans="2:12" ht="15.75" customHeight="1" x14ac:dyDescent="0.3">
      <c r="B22">
        <v>21</v>
      </c>
      <c r="C22" s="18" t="s">
        <v>521</v>
      </c>
      <c r="D22" s="18" t="s">
        <v>522</v>
      </c>
      <c r="E22" s="18" t="s">
        <v>16</v>
      </c>
      <c r="F22" s="18" t="s">
        <v>523</v>
      </c>
      <c r="G22" s="18" t="s">
        <v>462</v>
      </c>
      <c r="H22" s="18"/>
      <c r="I22" s="18"/>
      <c r="J22" s="30" t="s">
        <v>619</v>
      </c>
      <c r="K22" s="5" t="s">
        <v>511</v>
      </c>
    </row>
    <row r="23" spans="2:12" ht="15.75" customHeight="1" x14ac:dyDescent="0.3">
      <c r="B23">
        <v>22</v>
      </c>
      <c r="C23" s="18" t="s">
        <v>524</v>
      </c>
      <c r="D23" s="18" t="s">
        <v>525</v>
      </c>
      <c r="E23" s="18" t="s">
        <v>8</v>
      </c>
      <c r="F23" s="18" t="s">
        <v>526</v>
      </c>
      <c r="G23" s="18" t="s">
        <v>470</v>
      </c>
      <c r="H23" s="18"/>
      <c r="I23" s="18"/>
      <c r="J23" s="30" t="s">
        <v>619</v>
      </c>
      <c r="K23" s="5" t="s">
        <v>511</v>
      </c>
    </row>
    <row r="24" spans="2:12" ht="15.75" customHeight="1" x14ac:dyDescent="0.3">
      <c r="B24">
        <v>23</v>
      </c>
      <c r="C24" s="18" t="s">
        <v>527</v>
      </c>
      <c r="D24" s="18" t="s">
        <v>528</v>
      </c>
      <c r="E24" s="18" t="s">
        <v>5</v>
      </c>
      <c r="F24" s="18" t="s">
        <v>529</v>
      </c>
      <c r="G24" s="18" t="s">
        <v>470</v>
      </c>
      <c r="H24" s="18" t="s">
        <v>289</v>
      </c>
      <c r="I24" s="18"/>
      <c r="J24" s="30" t="s">
        <v>619</v>
      </c>
      <c r="K24" s="5" t="s">
        <v>511</v>
      </c>
    </row>
    <row r="25" spans="2:12" ht="15.75" customHeight="1" x14ac:dyDescent="0.3">
      <c r="B25">
        <v>24</v>
      </c>
      <c r="C25" s="18" t="s">
        <v>530</v>
      </c>
      <c r="D25" s="18" t="s">
        <v>531</v>
      </c>
      <c r="E25" s="18" t="s">
        <v>5</v>
      </c>
      <c r="F25" s="18" t="s">
        <v>532</v>
      </c>
      <c r="G25" s="18" t="s">
        <v>470</v>
      </c>
      <c r="H25" s="18"/>
      <c r="I25" s="18"/>
      <c r="J25" s="30" t="s">
        <v>619</v>
      </c>
      <c r="K25" s="5" t="s">
        <v>511</v>
      </c>
    </row>
    <row r="26" spans="2:12" ht="15.75" customHeight="1" x14ac:dyDescent="0.3">
      <c r="B26">
        <v>25</v>
      </c>
      <c r="C26" s="18" t="s">
        <v>533</v>
      </c>
      <c r="D26" s="18" t="s">
        <v>534</v>
      </c>
      <c r="E26" s="18" t="s">
        <v>8</v>
      </c>
      <c r="F26" s="18" t="s">
        <v>535</v>
      </c>
      <c r="G26" s="18" t="s">
        <v>509</v>
      </c>
      <c r="H26" s="18" t="s">
        <v>289</v>
      </c>
      <c r="I26" s="23" t="s">
        <v>289</v>
      </c>
      <c r="J26" s="30" t="s">
        <v>619</v>
      </c>
      <c r="K26" s="5" t="s">
        <v>511</v>
      </c>
    </row>
    <row r="27" spans="2:12" ht="15.75" customHeight="1" x14ac:dyDescent="0.3">
      <c r="B27">
        <v>26</v>
      </c>
      <c r="C27" s="18" t="s">
        <v>536</v>
      </c>
      <c r="D27" s="18" t="s">
        <v>537</v>
      </c>
      <c r="E27" s="18" t="s">
        <v>11</v>
      </c>
      <c r="F27" s="18" t="s">
        <v>538</v>
      </c>
      <c r="G27" s="18" t="s">
        <v>470</v>
      </c>
      <c r="H27" s="18"/>
      <c r="I27" s="18"/>
      <c r="J27" s="30" t="s">
        <v>619</v>
      </c>
      <c r="K27" s="5" t="s">
        <v>511</v>
      </c>
    </row>
    <row r="28" spans="2:12" ht="15.75" customHeight="1" x14ac:dyDescent="0.3">
      <c r="B28">
        <v>27</v>
      </c>
      <c r="C28" s="18" t="s">
        <v>539</v>
      </c>
      <c r="D28" s="18" t="s">
        <v>540</v>
      </c>
      <c r="E28" s="18" t="s">
        <v>8</v>
      </c>
      <c r="F28" s="18" t="s">
        <v>541</v>
      </c>
      <c r="G28" s="18" t="s">
        <v>462</v>
      </c>
      <c r="H28" s="18"/>
      <c r="I28" s="18"/>
      <c r="J28" s="30" t="s">
        <v>619</v>
      </c>
      <c r="K28" s="5" t="s">
        <v>511</v>
      </c>
    </row>
    <row r="29" spans="2:12" ht="15.75" customHeight="1" x14ac:dyDescent="0.25">
      <c r="B29">
        <v>28</v>
      </c>
      <c r="K29" s="5"/>
      <c r="L29" s="8">
        <f>COUNTA($B$2:B29)/175</f>
        <v>0.16</v>
      </c>
    </row>
    <row r="30" spans="2:12" ht="15.75" customHeight="1" x14ac:dyDescent="0.25">
      <c r="B30">
        <v>29</v>
      </c>
      <c r="K30" s="5"/>
      <c r="L30" s="8">
        <f>COUNTA($B$2:B30)/175</f>
        <v>0.1657142857142857</v>
      </c>
    </row>
    <row r="31" spans="2:12" ht="15.75" customHeight="1" x14ac:dyDescent="0.25">
      <c r="B31">
        <v>30</v>
      </c>
      <c r="C31" s="1"/>
      <c r="D31" s="2"/>
      <c r="E31" s="1"/>
      <c r="F31" s="1"/>
      <c r="K31" s="5"/>
      <c r="L31" s="8">
        <f>COUNTA($B$2:B31)/175</f>
        <v>0.17142857142857143</v>
      </c>
    </row>
    <row r="32" spans="2:12" ht="15.75" customHeight="1" x14ac:dyDescent="0.25">
      <c r="B32">
        <v>31</v>
      </c>
      <c r="C32" s="1"/>
      <c r="D32" s="2"/>
      <c r="E32" s="1"/>
      <c r="F32" s="1"/>
      <c r="K32" s="5"/>
      <c r="L32" s="8">
        <f>COUNTA($B$2:B32)/175</f>
        <v>0.17714285714285713</v>
      </c>
    </row>
    <row r="33" spans="2:14" ht="15.75" customHeight="1" x14ac:dyDescent="0.25">
      <c r="B33">
        <v>32</v>
      </c>
      <c r="C33" s="1"/>
      <c r="D33" s="2"/>
      <c r="E33" s="1"/>
      <c r="K33" s="5"/>
      <c r="L33" s="8">
        <f>COUNTA($B$2:B33)/175</f>
        <v>0.18285714285714286</v>
      </c>
    </row>
    <row r="34" spans="2:14" ht="15.75" customHeight="1" x14ac:dyDescent="0.25">
      <c r="B34">
        <v>33</v>
      </c>
      <c r="C34" s="1"/>
      <c r="D34" s="2"/>
      <c r="E34" s="1"/>
      <c r="F34" s="1"/>
      <c r="K34" s="5"/>
      <c r="L34" s="8">
        <f>COUNTA($B$2:B34)/175</f>
        <v>0.18857142857142858</v>
      </c>
    </row>
    <row r="35" spans="2:14" ht="15.75" customHeight="1" x14ac:dyDescent="0.25">
      <c r="B35">
        <v>34</v>
      </c>
      <c r="C35" s="1"/>
      <c r="D35" s="2"/>
      <c r="E35" s="5"/>
      <c r="F35" s="5"/>
      <c r="K35" s="5"/>
      <c r="L35" s="8">
        <f>COUNTA($B$2:B35)/175</f>
        <v>0.19428571428571428</v>
      </c>
    </row>
    <row r="36" spans="2:14" ht="15.75" customHeight="1" x14ac:dyDescent="0.3">
      <c r="B36">
        <v>35</v>
      </c>
      <c r="C36" s="5"/>
      <c r="D36" s="3"/>
      <c r="E36" s="5"/>
      <c r="F36" s="5"/>
      <c r="K36" s="5"/>
      <c r="L36" s="10">
        <f>COUNTA($B$2:B36)/175</f>
        <v>0.2</v>
      </c>
    </row>
    <row r="37" spans="2:14" ht="15.75" customHeight="1" x14ac:dyDescent="0.25">
      <c r="B37">
        <v>36</v>
      </c>
      <c r="C37" s="1"/>
      <c r="D37" s="2"/>
      <c r="E37" s="5"/>
      <c r="F37" s="5"/>
      <c r="K37" s="5"/>
      <c r="L37" s="8">
        <f>COUNTA($B$2:B37)/175</f>
        <v>0.20571428571428571</v>
      </c>
      <c r="M37" s="4"/>
    </row>
    <row r="38" spans="2:14" ht="15.75" customHeight="1" x14ac:dyDescent="0.25">
      <c r="B38">
        <v>37</v>
      </c>
      <c r="C38" s="3"/>
      <c r="D38" s="3"/>
      <c r="E38" s="5"/>
      <c r="F38" s="3"/>
      <c r="I38" s="4"/>
      <c r="K38" s="5"/>
      <c r="L38" s="8">
        <f>COUNTA($B$2:B38)/175</f>
        <v>0.21142857142857144</v>
      </c>
    </row>
    <row r="39" spans="2:14" ht="15.75" customHeight="1" x14ac:dyDescent="0.25">
      <c r="B39">
        <v>38</v>
      </c>
      <c r="C39" s="5"/>
      <c r="D39" s="3"/>
      <c r="E39" s="5"/>
      <c r="F39" s="5"/>
      <c r="I39" s="4"/>
      <c r="K39" s="5"/>
      <c r="L39" s="8">
        <f>COUNTA($B$2:B39)/175</f>
        <v>0.21714285714285714</v>
      </c>
    </row>
    <row r="40" spans="2:14" ht="15.75" customHeight="1" x14ac:dyDescent="0.25">
      <c r="B40">
        <v>39</v>
      </c>
      <c r="C40" s="5"/>
      <c r="D40" s="3"/>
      <c r="E40" s="5"/>
      <c r="F40" s="5"/>
      <c r="K40" s="5"/>
      <c r="L40" s="8">
        <f>COUNTA($B$2:B40)/175</f>
        <v>0.22285714285714286</v>
      </c>
    </row>
    <row r="41" spans="2:14" ht="15.75" customHeight="1" x14ac:dyDescent="0.25">
      <c r="B41">
        <v>40</v>
      </c>
      <c r="C41" s="5"/>
      <c r="D41" s="3"/>
      <c r="E41" s="5"/>
      <c r="F41" s="5"/>
      <c r="K41" s="5"/>
      <c r="L41" s="8">
        <f>COUNTA($B$2:B41)/175</f>
        <v>0.22857142857142856</v>
      </c>
    </row>
    <row r="42" spans="2:14" ht="15.75" customHeight="1" x14ac:dyDescent="0.25">
      <c r="B42">
        <v>41</v>
      </c>
      <c r="C42" s="5"/>
      <c r="D42" s="3"/>
      <c r="E42" s="5"/>
      <c r="F42" s="5"/>
      <c r="K42" s="5"/>
      <c r="L42" s="8">
        <f>COUNTA($B$2:B42)/175</f>
        <v>0.23428571428571429</v>
      </c>
    </row>
    <row r="43" spans="2:14" ht="15.75" customHeight="1" x14ac:dyDescent="0.25">
      <c r="B43">
        <v>42</v>
      </c>
      <c r="C43" s="1"/>
      <c r="D43" s="2"/>
      <c r="E43" s="1"/>
      <c r="F43" s="5"/>
      <c r="K43" s="5"/>
      <c r="L43" s="8">
        <f>COUNTA($B$2:B43)/175</f>
        <v>0.24</v>
      </c>
      <c r="N43" s="9"/>
    </row>
    <row r="44" spans="2:14" ht="15.75" customHeight="1" x14ac:dyDescent="0.25">
      <c r="B44">
        <v>43</v>
      </c>
      <c r="C44" s="1"/>
      <c r="D44" s="2"/>
      <c r="E44" s="1"/>
      <c r="F44" s="5"/>
      <c r="K44" s="5"/>
      <c r="L44" s="8">
        <f>COUNTA($B$2:B44)/175</f>
        <v>0.24571428571428572</v>
      </c>
    </row>
    <row r="45" spans="2:14" ht="15.75" customHeight="1" x14ac:dyDescent="0.25">
      <c r="B45">
        <v>44</v>
      </c>
      <c r="C45" s="1"/>
      <c r="D45" s="2"/>
      <c r="E45" s="1"/>
      <c r="F45" s="5"/>
      <c r="K45" s="5"/>
      <c r="L45" s="8">
        <f>COUNTA($B$2:B45)/175</f>
        <v>0.25142857142857145</v>
      </c>
    </row>
    <row r="46" spans="2:14" ht="15.75" customHeight="1" x14ac:dyDescent="0.25">
      <c r="B46">
        <v>45</v>
      </c>
      <c r="C46" s="5"/>
      <c r="D46" s="2"/>
      <c r="E46" s="5"/>
      <c r="F46" s="5"/>
      <c r="G46" s="4"/>
      <c r="H46" s="4"/>
      <c r="K46" s="5"/>
      <c r="L46" s="8">
        <f>COUNTA($B$2:B46)/175</f>
        <v>0.25714285714285712</v>
      </c>
    </row>
    <row r="47" spans="2:14" ht="15.75" customHeight="1" x14ac:dyDescent="0.25">
      <c r="B47">
        <v>46</v>
      </c>
      <c r="C47" s="5"/>
      <c r="D47" s="2"/>
      <c r="E47" s="5"/>
      <c r="F47" s="5"/>
      <c r="G47" s="4"/>
      <c r="H47" s="4"/>
      <c r="I47" s="4"/>
      <c r="K47" s="5"/>
      <c r="L47" s="8">
        <f>COUNTA($B$2:B47)/175</f>
        <v>0.26285714285714284</v>
      </c>
    </row>
    <row r="48" spans="2:14" ht="15.75" customHeight="1" x14ac:dyDescent="0.25">
      <c r="B48">
        <v>47</v>
      </c>
      <c r="C48" s="5"/>
      <c r="D48" s="2"/>
      <c r="E48" s="5"/>
      <c r="F48" s="3"/>
      <c r="G48" s="4"/>
      <c r="H48" s="4"/>
      <c r="J48" s="2"/>
      <c r="K48" s="5"/>
      <c r="L48" s="8">
        <f>COUNTA($B$2:B48)/175</f>
        <v>0.26857142857142857</v>
      </c>
    </row>
    <row r="49" spans="2:12" ht="15.75" customHeight="1" x14ac:dyDescent="0.25">
      <c r="B49">
        <v>48</v>
      </c>
      <c r="C49" s="5"/>
      <c r="D49" s="2"/>
      <c r="E49" s="5"/>
      <c r="F49" s="3"/>
      <c r="G49" s="4"/>
      <c r="H49" s="4"/>
      <c r="K49" s="5"/>
      <c r="L49" s="8">
        <f>COUNTA($B$2:B49)/175</f>
        <v>0.2742857142857143</v>
      </c>
    </row>
    <row r="50" spans="2:12" ht="15.75" customHeight="1" x14ac:dyDescent="0.25">
      <c r="B50">
        <v>49</v>
      </c>
      <c r="C50" s="3"/>
      <c r="D50" s="2"/>
      <c r="E50" s="5"/>
      <c r="F50" s="3"/>
      <c r="G50" s="4"/>
      <c r="H50" s="4"/>
      <c r="K50" s="5"/>
      <c r="L50" s="8">
        <f>COUNTA($B$2:B50)/175</f>
        <v>0.28000000000000003</v>
      </c>
    </row>
    <row r="51" spans="2:12" ht="15.75" customHeight="1" x14ac:dyDescent="0.25">
      <c r="B51">
        <v>50</v>
      </c>
      <c r="D51" s="3"/>
      <c r="E51" s="5"/>
      <c r="F51" s="3"/>
      <c r="G51" s="4"/>
      <c r="H51" s="4"/>
      <c r="K51" s="5"/>
      <c r="L51" s="8">
        <f>COUNTA($B$2:B51)/175</f>
        <v>0.2857142857142857</v>
      </c>
    </row>
    <row r="52" spans="2:12" ht="15.75" customHeight="1" x14ac:dyDescent="0.25">
      <c r="B52">
        <v>51</v>
      </c>
      <c r="C52" s="5"/>
      <c r="D52" s="2"/>
      <c r="E52" s="5"/>
      <c r="F52" s="3"/>
      <c r="G52" s="4"/>
      <c r="H52" s="4"/>
      <c r="K52" s="5"/>
      <c r="L52" s="8">
        <f>COUNTA($B$2:B52)/175</f>
        <v>0.29142857142857143</v>
      </c>
    </row>
    <row r="53" spans="2:12" ht="15.75" customHeight="1" x14ac:dyDescent="0.25">
      <c r="B53">
        <v>52</v>
      </c>
      <c r="C53" s="5"/>
      <c r="D53" s="2"/>
      <c r="E53" s="5"/>
      <c r="K53" s="5"/>
      <c r="L53" s="8">
        <f>COUNTA($B$2:B53)/175</f>
        <v>0.29714285714285715</v>
      </c>
    </row>
    <row r="54" spans="2:12" ht="15.75" customHeight="1" x14ac:dyDescent="0.25">
      <c r="B54">
        <v>53</v>
      </c>
      <c r="C54" s="5"/>
      <c r="D54" s="2"/>
      <c r="E54" s="5"/>
      <c r="F54" s="3"/>
      <c r="K54" s="5"/>
      <c r="L54" s="8">
        <f>COUNTA($B$2:B54)/175</f>
        <v>0.30285714285714288</v>
      </c>
    </row>
    <row r="55" spans="2:12" ht="15.75" customHeight="1" x14ac:dyDescent="0.25">
      <c r="B55">
        <v>54</v>
      </c>
      <c r="C55" s="5"/>
      <c r="D55" s="2"/>
      <c r="E55" s="5"/>
      <c r="F55" s="3"/>
      <c r="K55" s="5"/>
      <c r="L55" s="8">
        <f>COUNTA($B$2:B55)/175</f>
        <v>0.30857142857142855</v>
      </c>
    </row>
    <row r="56" spans="2:12" ht="15.75" customHeight="1" x14ac:dyDescent="0.25">
      <c r="B56">
        <v>55</v>
      </c>
      <c r="C56" s="5"/>
      <c r="D56" s="2"/>
      <c r="E56" s="5"/>
      <c r="F56" s="3"/>
      <c r="K56" s="5"/>
      <c r="L56" s="8">
        <f>COUNTA($B$2:B56)/175</f>
        <v>0.31428571428571428</v>
      </c>
    </row>
    <row r="57" spans="2:12" ht="15.75" customHeight="1" x14ac:dyDescent="0.25">
      <c r="B57">
        <v>56</v>
      </c>
      <c r="C57" s="11"/>
      <c r="D57" s="2"/>
      <c r="E57" s="5"/>
      <c r="F57" s="2"/>
      <c r="K57" s="5"/>
      <c r="L57" s="8">
        <f>COUNTA($B$2:B57)/175</f>
        <v>0.32</v>
      </c>
    </row>
    <row r="58" spans="2:12" ht="15.75" customHeight="1" x14ac:dyDescent="0.25">
      <c r="B58">
        <v>57</v>
      </c>
      <c r="C58" s="2"/>
      <c r="D58" s="2"/>
      <c r="E58" s="5"/>
      <c r="F58" s="2"/>
      <c r="K58" s="5"/>
      <c r="L58" s="8">
        <f>COUNTA($B$2:B58)/175</f>
        <v>0.32571428571428573</v>
      </c>
    </row>
    <row r="59" spans="2:12" ht="15.75" customHeight="1" x14ac:dyDescent="0.25">
      <c r="B59">
        <v>58</v>
      </c>
      <c r="C59" s="2"/>
      <c r="D59" s="2"/>
      <c r="E59" s="5"/>
      <c r="F59" s="2"/>
      <c r="K59" s="5"/>
      <c r="L59" s="8">
        <f>COUNTA($B$2:B59)/175</f>
        <v>0.33142857142857141</v>
      </c>
    </row>
    <row r="60" spans="2:12" ht="15.75" customHeight="1" x14ac:dyDescent="0.25">
      <c r="B60">
        <v>59</v>
      </c>
      <c r="C60" s="2"/>
      <c r="D60" s="2"/>
      <c r="E60" s="5"/>
      <c r="F60" s="2"/>
      <c r="I60" s="2"/>
      <c r="K60" s="5"/>
      <c r="L60" s="8">
        <f>COUNTA($B$2:B60)/175</f>
        <v>0.33714285714285713</v>
      </c>
    </row>
    <row r="61" spans="2:12" ht="15.75" customHeight="1" x14ac:dyDescent="0.25">
      <c r="B61">
        <v>60</v>
      </c>
      <c r="C61" s="2"/>
      <c r="D61" s="2"/>
      <c r="E61" s="5"/>
      <c r="F61" s="2"/>
      <c r="K61" s="5"/>
      <c r="L61" s="8">
        <f>COUNTA($B$2:B61)/175</f>
        <v>0.34285714285714286</v>
      </c>
    </row>
    <row r="62" spans="2:12" ht="15.75" customHeight="1" x14ac:dyDescent="0.25">
      <c r="B62">
        <v>61</v>
      </c>
      <c r="C62" s="2"/>
      <c r="D62" s="2"/>
      <c r="E62" s="5"/>
      <c r="F62" s="2"/>
      <c r="K62" s="5"/>
      <c r="L62" s="8">
        <f>COUNTA($B$2:B62)/175</f>
        <v>0.34857142857142859</v>
      </c>
    </row>
    <row r="63" spans="2:12" ht="15.75" customHeight="1" x14ac:dyDescent="0.25">
      <c r="B63">
        <v>62</v>
      </c>
      <c r="C63" s="2"/>
      <c r="D63" s="2"/>
      <c r="E63" s="5"/>
      <c r="F63" s="2"/>
      <c r="K63" s="5"/>
      <c r="L63" s="8">
        <f>COUNTA($B$2:B63)/175</f>
        <v>0.35428571428571426</v>
      </c>
    </row>
    <row r="64" spans="2:12" ht="15.75" customHeight="1" x14ac:dyDescent="0.25">
      <c r="B64">
        <v>63</v>
      </c>
      <c r="C64" s="2"/>
      <c r="D64" s="2"/>
      <c r="E64" s="5"/>
      <c r="F64" s="2"/>
      <c r="K64" s="5"/>
      <c r="L64" s="8">
        <f>COUNTA($B$2:B64)/175</f>
        <v>0.36</v>
      </c>
    </row>
    <row r="65" spans="2:12" ht="15.75" customHeight="1" x14ac:dyDescent="0.25">
      <c r="B65">
        <v>64</v>
      </c>
      <c r="C65" s="2"/>
      <c r="D65" s="2"/>
      <c r="E65" s="5"/>
      <c r="F65" s="2"/>
      <c r="K65" s="5"/>
      <c r="L65" s="8">
        <f>COUNTA($B$2:B65)/175</f>
        <v>0.36571428571428571</v>
      </c>
    </row>
    <row r="66" spans="2:12" ht="15.75" customHeight="1" x14ac:dyDescent="0.25">
      <c r="B66">
        <v>65</v>
      </c>
      <c r="C66" s="2"/>
      <c r="D66" s="2"/>
      <c r="E66" s="5"/>
      <c r="F66" s="2"/>
      <c r="I66" s="2"/>
      <c r="K66" s="5"/>
      <c r="L66" s="8">
        <f>COUNTA($B$2:B66)/175</f>
        <v>0.37142857142857144</v>
      </c>
    </row>
    <row r="67" spans="2:12" ht="15.75" customHeight="1" x14ac:dyDescent="0.25">
      <c r="B67">
        <v>66</v>
      </c>
      <c r="C67" s="2"/>
      <c r="D67" s="2"/>
      <c r="E67" s="5"/>
      <c r="F67" s="2"/>
      <c r="K67" s="5"/>
      <c r="L67" s="8">
        <f>COUNTA($B$2:B67)/175</f>
        <v>0.37714285714285717</v>
      </c>
    </row>
    <row r="68" spans="2:12" ht="15.75" customHeight="1" x14ac:dyDescent="0.25">
      <c r="B68">
        <v>67</v>
      </c>
      <c r="C68" s="2"/>
      <c r="D68" s="2"/>
      <c r="E68" s="5"/>
      <c r="F68" s="2"/>
      <c r="K68" s="5"/>
      <c r="L68" s="8">
        <f>COUNTA($B$2:B68)/175</f>
        <v>0.38285714285714284</v>
      </c>
    </row>
    <row r="69" spans="2:12" ht="15.75" customHeight="1" x14ac:dyDescent="0.25">
      <c r="B69">
        <v>68</v>
      </c>
      <c r="C69" s="2"/>
      <c r="D69" s="2"/>
      <c r="E69" s="5"/>
      <c r="F69" s="2"/>
      <c r="K69" s="5"/>
      <c r="L69" s="8">
        <f>COUNTA($B$2:B69)/175</f>
        <v>0.38857142857142857</v>
      </c>
    </row>
    <row r="70" spans="2:12" ht="15.75" customHeight="1" x14ac:dyDescent="0.25">
      <c r="B70">
        <v>69</v>
      </c>
      <c r="C70" s="2"/>
      <c r="D70" s="2"/>
      <c r="E70" s="5"/>
      <c r="F70" s="2"/>
      <c r="K70" s="5"/>
      <c r="L70" s="8">
        <f>COUNTA($B$2:B70)/175</f>
        <v>0.39428571428571429</v>
      </c>
    </row>
    <row r="71" spans="2:12" ht="15.75" customHeight="1" x14ac:dyDescent="0.3">
      <c r="B71">
        <v>70</v>
      </c>
      <c r="C71" s="2"/>
      <c r="D71" s="2"/>
      <c r="E71" s="5"/>
      <c r="F71" s="2"/>
      <c r="K71" s="5"/>
      <c r="L71" s="10">
        <f>COUNTA($B$2:B71)/175</f>
        <v>0.4</v>
      </c>
    </row>
    <row r="72" spans="2:12" ht="15.75" customHeight="1" x14ac:dyDescent="0.25">
      <c r="B72">
        <v>71</v>
      </c>
      <c r="K72" s="5"/>
      <c r="L72" s="8">
        <f>COUNTA($B$2:B72)/175</f>
        <v>0.40571428571428569</v>
      </c>
    </row>
    <row r="73" spans="2:12" ht="15.75" customHeight="1" x14ac:dyDescent="0.25">
      <c r="B73">
        <v>72</v>
      </c>
      <c r="K73" s="5"/>
      <c r="L73" s="8">
        <f>COUNTA($B$2:B73)/175</f>
        <v>0.41142857142857142</v>
      </c>
    </row>
    <row r="74" spans="2:12" ht="15.75" customHeight="1" x14ac:dyDescent="0.25">
      <c r="B74">
        <v>73</v>
      </c>
      <c r="K74" s="5"/>
      <c r="L74" s="8">
        <f>COUNTA($B$2:B74)/175</f>
        <v>0.41714285714285715</v>
      </c>
    </row>
    <row r="75" spans="2:12" ht="15.75" customHeight="1" x14ac:dyDescent="0.25">
      <c r="B75">
        <v>74</v>
      </c>
      <c r="K75" s="5"/>
      <c r="L75" s="8">
        <f>COUNTA($B$2:B75)/175</f>
        <v>0.42285714285714288</v>
      </c>
    </row>
    <row r="76" spans="2:12" ht="15.75" customHeight="1" x14ac:dyDescent="0.25">
      <c r="B76">
        <v>75</v>
      </c>
      <c r="K76" s="5"/>
      <c r="L76" s="8">
        <f>COUNTA($B$2:B76)/175</f>
        <v>0.42857142857142855</v>
      </c>
    </row>
    <row r="77" spans="2:12" ht="15.75" customHeight="1" x14ac:dyDescent="0.25">
      <c r="B77">
        <v>76</v>
      </c>
      <c r="K77" s="5"/>
      <c r="L77" s="8">
        <f>COUNTA($B$2:B77)/175</f>
        <v>0.43428571428571427</v>
      </c>
    </row>
    <row r="78" spans="2:12" ht="15.75" customHeight="1" x14ac:dyDescent="0.25">
      <c r="B78">
        <v>77</v>
      </c>
      <c r="K78" s="5"/>
      <c r="L78" s="8">
        <f>COUNTA($B$2:B78)/175</f>
        <v>0.44</v>
      </c>
    </row>
    <row r="79" spans="2:12" ht="15.75" customHeight="1" x14ac:dyDescent="0.25">
      <c r="B79">
        <v>78</v>
      </c>
      <c r="K79" s="5"/>
      <c r="L79" s="8">
        <f>COUNTA($B$2:B79)/175</f>
        <v>0.44571428571428573</v>
      </c>
    </row>
    <row r="80" spans="2:12" ht="15.75" customHeight="1" x14ac:dyDescent="0.25">
      <c r="B80">
        <v>79</v>
      </c>
      <c r="K80" s="5"/>
      <c r="L80" s="8">
        <f>COUNTA($B$2:B80)/175</f>
        <v>0.4514285714285714</v>
      </c>
    </row>
    <row r="81" spans="2:12" ht="15.75" customHeight="1" x14ac:dyDescent="0.25">
      <c r="B81">
        <v>80</v>
      </c>
      <c r="K81" s="5"/>
      <c r="L81" s="8">
        <f>COUNTA($B$2:B81)/175</f>
        <v>0.45714285714285713</v>
      </c>
    </row>
    <row r="82" spans="2:12" ht="15.75" customHeight="1" x14ac:dyDescent="0.25">
      <c r="B82">
        <v>81</v>
      </c>
      <c r="K82" s="5"/>
      <c r="L82" s="8">
        <f>COUNTA($B$2:B82)/175</f>
        <v>0.46285714285714286</v>
      </c>
    </row>
    <row r="83" spans="2:12" ht="15.75" customHeight="1" x14ac:dyDescent="0.25">
      <c r="B83">
        <v>82</v>
      </c>
      <c r="K83" s="5"/>
      <c r="L83" s="8">
        <f>COUNTA($B$2:B83)/175</f>
        <v>0.46857142857142858</v>
      </c>
    </row>
    <row r="84" spans="2:12" ht="15.75" customHeight="1" x14ac:dyDescent="0.25">
      <c r="B84">
        <v>83</v>
      </c>
      <c r="K84" s="5"/>
      <c r="L84" s="8">
        <f>COUNTA($B$2:B84)/175</f>
        <v>0.47428571428571431</v>
      </c>
    </row>
    <row r="85" spans="2:12" ht="15.75" customHeight="1" x14ac:dyDescent="0.25">
      <c r="B85">
        <v>84</v>
      </c>
      <c r="K85" s="5"/>
      <c r="L85" s="8">
        <f>COUNTA($B$2:B85)/175</f>
        <v>0.48</v>
      </c>
    </row>
    <row r="86" spans="2:12" ht="15.75" customHeight="1" x14ac:dyDescent="0.25">
      <c r="B86">
        <v>85</v>
      </c>
      <c r="K86" s="5"/>
      <c r="L86" s="8">
        <f>COUNTA($B$2:B86)/175</f>
        <v>0.48571428571428571</v>
      </c>
    </row>
    <row r="87" spans="2:12" ht="15.75" customHeight="1" x14ac:dyDescent="0.25">
      <c r="B87">
        <v>86</v>
      </c>
      <c r="K87" s="5"/>
      <c r="L87" s="8">
        <f>COUNTA($B$2:B87)/175</f>
        <v>0.49142857142857144</v>
      </c>
    </row>
    <row r="88" spans="2:12" ht="15.75" customHeight="1" x14ac:dyDescent="0.25">
      <c r="B88">
        <v>87</v>
      </c>
      <c r="K88" s="5"/>
      <c r="L88" s="8">
        <f>COUNTA($B$2:B88)/175</f>
        <v>0.49714285714285716</v>
      </c>
    </row>
    <row r="89" spans="2:12" ht="15.75" customHeight="1" x14ac:dyDescent="0.25">
      <c r="B89">
        <v>88</v>
      </c>
      <c r="K89" s="5"/>
      <c r="L89" s="8">
        <f>COUNTA($B$2:B89)/175</f>
        <v>0.50285714285714289</v>
      </c>
    </row>
    <row r="90" spans="2:12" ht="15.75" customHeight="1" x14ac:dyDescent="0.25">
      <c r="B90">
        <v>89</v>
      </c>
      <c r="K90" s="5"/>
      <c r="L90" s="8">
        <f>COUNTA($B$2:B90)/175</f>
        <v>0.50857142857142856</v>
      </c>
    </row>
    <row r="91" spans="2:12" ht="15.75" customHeight="1" x14ac:dyDescent="0.25">
      <c r="B91">
        <v>90</v>
      </c>
      <c r="K91" s="5"/>
      <c r="L91" s="8">
        <f>COUNTA($B$2:B91)/175</f>
        <v>0.51428571428571423</v>
      </c>
    </row>
    <row r="92" spans="2:12" ht="15.75" customHeight="1" x14ac:dyDescent="0.25">
      <c r="B92">
        <v>91</v>
      </c>
      <c r="K92" s="5"/>
      <c r="L92" s="8">
        <f>COUNTA($B$2:B92)/175</f>
        <v>0.52</v>
      </c>
    </row>
    <row r="93" spans="2:12" ht="15.75" customHeight="1" x14ac:dyDescent="0.25">
      <c r="B93">
        <v>92</v>
      </c>
      <c r="K93" s="5"/>
      <c r="L93" s="8">
        <f>COUNTA($B$2:B93)/175</f>
        <v>0.52571428571428569</v>
      </c>
    </row>
    <row r="94" spans="2:12" ht="15.75" customHeight="1" x14ac:dyDescent="0.25">
      <c r="B94">
        <v>93</v>
      </c>
      <c r="K94" s="5"/>
      <c r="L94" s="8">
        <f>COUNTA($B$2:B94)/175</f>
        <v>0.53142857142857147</v>
      </c>
    </row>
    <row r="95" spans="2:12" ht="15.75" customHeight="1" x14ac:dyDescent="0.25">
      <c r="B95">
        <v>94</v>
      </c>
      <c r="K95" s="5"/>
      <c r="L95" s="8">
        <f>COUNTA($B$2:B95)/175</f>
        <v>0.53714285714285714</v>
      </c>
    </row>
    <row r="96" spans="2:12" ht="15.75" customHeight="1" x14ac:dyDescent="0.25">
      <c r="B96">
        <v>95</v>
      </c>
      <c r="K96" s="5"/>
      <c r="L96" s="8">
        <f>COUNTA($B$2:B96)/175</f>
        <v>0.54285714285714282</v>
      </c>
    </row>
    <row r="97" spans="2:12" ht="15.75" customHeight="1" x14ac:dyDescent="0.25">
      <c r="B97">
        <v>96</v>
      </c>
      <c r="K97" s="5"/>
      <c r="L97" s="8">
        <f>COUNTA($B$2:B97)/175</f>
        <v>0.5485714285714286</v>
      </c>
    </row>
    <row r="98" spans="2:12" ht="15.75" customHeight="1" x14ac:dyDescent="0.25">
      <c r="B98">
        <v>97</v>
      </c>
      <c r="K98" s="5"/>
      <c r="L98" s="8">
        <f>COUNTA($B$2:B98)/175</f>
        <v>0.55428571428571427</v>
      </c>
    </row>
    <row r="99" spans="2:12" ht="15.75" customHeight="1" x14ac:dyDescent="0.25">
      <c r="B99">
        <v>98</v>
      </c>
      <c r="K99" s="5"/>
      <c r="L99" s="8">
        <f>COUNTA($B$2:B99)/175</f>
        <v>0.56000000000000005</v>
      </c>
    </row>
    <row r="100" spans="2:12" ht="15.75" customHeight="1" x14ac:dyDescent="0.25">
      <c r="B100">
        <v>99</v>
      </c>
      <c r="K100" s="5"/>
      <c r="L100" s="8">
        <f>COUNTA($B$2:B100)/175</f>
        <v>0.56571428571428573</v>
      </c>
    </row>
    <row r="101" spans="2:12" ht="15.75" customHeight="1" x14ac:dyDescent="0.25">
      <c r="B101">
        <v>100</v>
      </c>
      <c r="K101" s="5"/>
      <c r="L101" s="8">
        <f>COUNTA($B$2:B101)/175</f>
        <v>0.5714285714285714</v>
      </c>
    </row>
    <row r="102" spans="2:12" ht="15.75" customHeight="1" x14ac:dyDescent="0.25">
      <c r="B102">
        <v>101</v>
      </c>
      <c r="K102" s="5"/>
      <c r="L102" s="8">
        <f>COUNTA($B$2:B102)/175</f>
        <v>0.57714285714285718</v>
      </c>
    </row>
    <row r="103" spans="2:12" ht="15.75" customHeight="1" x14ac:dyDescent="0.25">
      <c r="B103">
        <v>102</v>
      </c>
      <c r="K103" s="5"/>
      <c r="L103" s="8">
        <f>COUNTA($B$2:B103)/175</f>
        <v>0.58285714285714285</v>
      </c>
    </row>
    <row r="104" spans="2:12" ht="15.75" customHeight="1" x14ac:dyDescent="0.25">
      <c r="B104">
        <v>103</v>
      </c>
      <c r="K104" s="5"/>
      <c r="L104" s="8">
        <f>COUNTA($B$2:B104)/175</f>
        <v>0.58857142857142852</v>
      </c>
    </row>
    <row r="105" spans="2:12" ht="15.75" customHeight="1" x14ac:dyDescent="0.25">
      <c r="B105">
        <v>104</v>
      </c>
      <c r="K105" s="5"/>
      <c r="L105" s="8">
        <f>COUNTA($B$2:B105)/175</f>
        <v>0.59428571428571431</v>
      </c>
    </row>
    <row r="106" spans="2:12" ht="15.75" customHeight="1" x14ac:dyDescent="0.3">
      <c r="B106">
        <v>105</v>
      </c>
      <c r="K106" s="5"/>
      <c r="L106" s="10">
        <f>COUNTA($B$2:B106)/175</f>
        <v>0.6</v>
      </c>
    </row>
    <row r="107" spans="2:12" ht="15.75" customHeight="1" x14ac:dyDescent="0.25">
      <c r="B107">
        <v>106</v>
      </c>
      <c r="K107" s="5"/>
      <c r="L107" s="8">
        <f>COUNTA($B$2:B107)/175</f>
        <v>0.60571428571428576</v>
      </c>
    </row>
    <row r="108" spans="2:12" ht="15.75" customHeight="1" x14ac:dyDescent="0.25">
      <c r="B108">
        <v>107</v>
      </c>
      <c r="K108" s="5"/>
      <c r="L108" s="8">
        <f>COUNTA($B$2:B108)/175</f>
        <v>0.61142857142857143</v>
      </c>
    </row>
    <row r="109" spans="2:12" ht="15.75" customHeight="1" x14ac:dyDescent="0.25">
      <c r="B109">
        <v>108</v>
      </c>
      <c r="K109" s="5"/>
      <c r="L109" s="8">
        <f>COUNTA($B$2:B109)/175</f>
        <v>0.6171428571428571</v>
      </c>
    </row>
    <row r="110" spans="2:12" ht="15.75" customHeight="1" x14ac:dyDescent="0.25">
      <c r="B110">
        <v>109</v>
      </c>
      <c r="K110" s="5"/>
      <c r="L110" s="8">
        <f>COUNTA($B$2:B110)/175</f>
        <v>0.62285714285714289</v>
      </c>
    </row>
    <row r="111" spans="2:12" ht="15.75" customHeight="1" x14ac:dyDescent="0.25">
      <c r="B111">
        <v>110</v>
      </c>
      <c r="K111" s="5"/>
      <c r="L111" s="8">
        <f>COUNTA($B$2:B111)/175</f>
        <v>0.62857142857142856</v>
      </c>
    </row>
    <row r="112" spans="2:12" ht="15.75" customHeight="1" x14ac:dyDescent="0.25">
      <c r="B112">
        <v>111</v>
      </c>
      <c r="K112" s="5"/>
      <c r="L112" s="8">
        <f>COUNTA($B$2:B112)/175</f>
        <v>0.63428571428571423</v>
      </c>
    </row>
    <row r="113" spans="2:12" ht="15.75" customHeight="1" x14ac:dyDescent="0.25">
      <c r="B113">
        <v>112</v>
      </c>
      <c r="K113" s="5"/>
      <c r="L113" s="8">
        <f>COUNTA($B$2:B113)/175</f>
        <v>0.64</v>
      </c>
    </row>
    <row r="114" spans="2:12" ht="15.75" customHeight="1" x14ac:dyDescent="0.25">
      <c r="B114">
        <v>113</v>
      </c>
      <c r="K114" s="5"/>
      <c r="L114" s="8">
        <f>COUNTA($B$2:B114)/175</f>
        <v>0.64571428571428569</v>
      </c>
    </row>
    <row r="115" spans="2:12" ht="15.75" customHeight="1" x14ac:dyDescent="0.25">
      <c r="B115">
        <v>114</v>
      </c>
      <c r="K115" s="5"/>
      <c r="L115" s="8">
        <f>COUNTA($B$2:B115)/175</f>
        <v>0.65142857142857147</v>
      </c>
    </row>
    <row r="116" spans="2:12" ht="15.75" customHeight="1" x14ac:dyDescent="0.25">
      <c r="B116">
        <v>115</v>
      </c>
      <c r="K116" s="5"/>
      <c r="L116" s="8">
        <f>COUNTA($B$2:B116)/175</f>
        <v>0.65714285714285714</v>
      </c>
    </row>
    <row r="117" spans="2:12" ht="15.75" customHeight="1" x14ac:dyDescent="0.25">
      <c r="B117">
        <v>116</v>
      </c>
      <c r="K117" s="5"/>
      <c r="L117" s="8">
        <f>COUNTA($B$2:B117)/175</f>
        <v>0.66285714285714281</v>
      </c>
    </row>
    <row r="118" spans="2:12" ht="15.75" customHeight="1" x14ac:dyDescent="0.25">
      <c r="B118">
        <v>117</v>
      </c>
      <c r="K118" s="5"/>
      <c r="L118" s="8">
        <f>COUNTA($B$2:B118)/175</f>
        <v>0.66857142857142859</v>
      </c>
    </row>
    <row r="119" spans="2:12" ht="15.75" customHeight="1" x14ac:dyDescent="0.25">
      <c r="B119">
        <v>118</v>
      </c>
      <c r="K119" s="5"/>
      <c r="L119" s="8">
        <f>COUNTA($B$2:B119)/175</f>
        <v>0.67428571428571427</v>
      </c>
    </row>
    <row r="120" spans="2:12" ht="15.75" customHeight="1" x14ac:dyDescent="0.25">
      <c r="B120">
        <v>119</v>
      </c>
      <c r="K120" s="5"/>
      <c r="L120" s="8">
        <f>COUNTA($B$2:B120)/175</f>
        <v>0.68</v>
      </c>
    </row>
    <row r="121" spans="2:12" ht="15.75" customHeight="1" x14ac:dyDescent="0.25">
      <c r="B121">
        <v>120</v>
      </c>
      <c r="K121" s="5"/>
      <c r="L121" s="8">
        <f>COUNTA($B$2:B121)/175</f>
        <v>0.68571428571428572</v>
      </c>
    </row>
    <row r="122" spans="2:12" ht="15.75" customHeight="1" x14ac:dyDescent="0.25">
      <c r="B122">
        <v>121</v>
      </c>
      <c r="K122" s="5"/>
      <c r="L122" s="8">
        <f>COUNTA($B$2:B122)/175</f>
        <v>0.69142857142857139</v>
      </c>
    </row>
    <row r="123" spans="2:12" ht="15.75" customHeight="1" x14ac:dyDescent="0.25">
      <c r="B123">
        <v>122</v>
      </c>
      <c r="K123" s="5"/>
      <c r="L123" s="8">
        <f>COUNTA($B$2:B123)/175</f>
        <v>0.69714285714285718</v>
      </c>
    </row>
    <row r="124" spans="2:12" ht="15.75" customHeight="1" x14ac:dyDescent="0.25">
      <c r="B124">
        <v>123</v>
      </c>
      <c r="K124" s="5"/>
      <c r="L124" s="8">
        <f>COUNTA($B$2:B124)/175</f>
        <v>0.70285714285714285</v>
      </c>
    </row>
    <row r="125" spans="2:12" ht="15.75" customHeight="1" x14ac:dyDescent="0.25">
      <c r="B125">
        <v>124</v>
      </c>
      <c r="K125" s="5"/>
      <c r="L125" s="8">
        <f>COUNTA($B$2:B125)/175</f>
        <v>0.70857142857142852</v>
      </c>
    </row>
    <row r="126" spans="2:12" ht="15.75" customHeight="1" x14ac:dyDescent="0.25">
      <c r="B126">
        <v>125</v>
      </c>
      <c r="K126" s="5"/>
      <c r="L126" s="8">
        <f>COUNTA($B$2:B126)/175</f>
        <v>0.7142857142857143</v>
      </c>
    </row>
    <row r="127" spans="2:12" ht="15.75" customHeight="1" x14ac:dyDescent="0.25">
      <c r="B127">
        <v>126</v>
      </c>
      <c r="K127" s="5"/>
      <c r="L127" s="8">
        <f>COUNTA($B$2:B127)/175</f>
        <v>0.72</v>
      </c>
    </row>
    <row r="128" spans="2:12" ht="15.75" customHeight="1" x14ac:dyDescent="0.25">
      <c r="B128">
        <v>127</v>
      </c>
      <c r="K128" s="5"/>
      <c r="L128" s="8">
        <f>COUNTA($B$2:B128)/175</f>
        <v>0.72571428571428576</v>
      </c>
    </row>
    <row r="129" spans="2:12" ht="15.75" customHeight="1" x14ac:dyDescent="0.25">
      <c r="B129">
        <v>128</v>
      </c>
      <c r="K129" s="5"/>
      <c r="L129" s="8">
        <f>COUNTA($B$2:B129)/175</f>
        <v>0.73142857142857143</v>
      </c>
    </row>
    <row r="130" spans="2:12" ht="15.75" customHeight="1" x14ac:dyDescent="0.25">
      <c r="B130">
        <v>129</v>
      </c>
      <c r="K130" s="5"/>
      <c r="L130" s="8">
        <f>COUNTA($B$2:B130)/175</f>
        <v>0.7371428571428571</v>
      </c>
    </row>
    <row r="131" spans="2:12" ht="15.75" customHeight="1" x14ac:dyDescent="0.25">
      <c r="B131">
        <v>130</v>
      </c>
      <c r="K131" s="5"/>
      <c r="L131" s="8">
        <f>COUNTA($B$2:B131)/175</f>
        <v>0.74285714285714288</v>
      </c>
    </row>
    <row r="132" spans="2:12" ht="15.75" customHeight="1" x14ac:dyDescent="0.25">
      <c r="B132">
        <v>131</v>
      </c>
      <c r="K132" s="5"/>
      <c r="L132" s="8">
        <f>COUNTA($B$2:B132)/175</f>
        <v>0.74857142857142855</v>
      </c>
    </row>
    <row r="133" spans="2:12" ht="15.75" customHeight="1" x14ac:dyDescent="0.25">
      <c r="B133">
        <v>132</v>
      </c>
      <c r="K133" s="5"/>
      <c r="L133" s="8">
        <f>COUNTA($B$2:B133)/175</f>
        <v>0.75428571428571434</v>
      </c>
    </row>
    <row r="134" spans="2:12" ht="15.75" customHeight="1" x14ac:dyDescent="0.25">
      <c r="B134">
        <v>133</v>
      </c>
      <c r="K134" s="5"/>
      <c r="L134" s="8">
        <f>COUNTA($B$2:B134)/175</f>
        <v>0.76</v>
      </c>
    </row>
    <row r="135" spans="2:12" ht="15.75" customHeight="1" x14ac:dyDescent="0.25">
      <c r="B135">
        <v>134</v>
      </c>
      <c r="K135" s="5"/>
      <c r="L135" s="8">
        <f>COUNTA($B$2:B135)/175</f>
        <v>0.76571428571428568</v>
      </c>
    </row>
    <row r="136" spans="2:12" ht="15.75" customHeight="1" x14ac:dyDescent="0.25">
      <c r="B136">
        <v>135</v>
      </c>
      <c r="K136" s="5"/>
      <c r="L136" s="8">
        <f>COUNTA($B$2:B136)/175</f>
        <v>0.77142857142857146</v>
      </c>
    </row>
    <row r="137" spans="2:12" ht="15.75" customHeight="1" x14ac:dyDescent="0.25">
      <c r="B137">
        <v>136</v>
      </c>
      <c r="K137" s="5"/>
      <c r="L137" s="8">
        <f>COUNTA($B$2:B137)/175</f>
        <v>0.77714285714285714</v>
      </c>
    </row>
    <row r="138" spans="2:12" ht="15.75" customHeight="1" x14ac:dyDescent="0.25">
      <c r="B138">
        <v>137</v>
      </c>
      <c r="K138" s="5"/>
      <c r="L138" s="8">
        <f>COUNTA($B$2:B138)/175</f>
        <v>0.78285714285714281</v>
      </c>
    </row>
    <row r="139" spans="2:12" ht="15.75" customHeight="1" x14ac:dyDescent="0.25">
      <c r="B139">
        <v>138</v>
      </c>
      <c r="K139" s="5"/>
      <c r="L139" s="8">
        <f>COUNTA($B$2:B139)/175</f>
        <v>0.78857142857142859</v>
      </c>
    </row>
    <row r="140" spans="2:12" ht="15.75" customHeight="1" x14ac:dyDescent="0.25">
      <c r="B140">
        <v>139</v>
      </c>
      <c r="K140" s="5"/>
      <c r="L140" s="8">
        <f>COUNTA($B$2:B140)/175</f>
        <v>0.79428571428571426</v>
      </c>
    </row>
    <row r="141" spans="2:12" ht="15.75" customHeight="1" x14ac:dyDescent="0.3">
      <c r="B141">
        <v>140</v>
      </c>
      <c r="K141" s="5"/>
      <c r="L141" s="10">
        <f>COUNTA($B$2:B141)/175</f>
        <v>0.8</v>
      </c>
    </row>
    <row r="142" spans="2:12" ht="15.75" customHeight="1" x14ac:dyDescent="0.25">
      <c r="B142">
        <v>141</v>
      </c>
      <c r="K142" s="5"/>
      <c r="L142" s="8">
        <f>COUNTA($B$2:B142)/175</f>
        <v>0.80571428571428572</v>
      </c>
    </row>
    <row r="143" spans="2:12" ht="15.75" customHeight="1" x14ac:dyDescent="0.25">
      <c r="B143">
        <v>142</v>
      </c>
      <c r="K143" s="5"/>
      <c r="L143" s="8">
        <f>COUNTA($B$2:B143)/175</f>
        <v>0.81142857142857139</v>
      </c>
    </row>
    <row r="144" spans="2:12" ht="15.75" customHeight="1" x14ac:dyDescent="0.25">
      <c r="B144">
        <v>143</v>
      </c>
      <c r="K144" s="5"/>
      <c r="L144" s="8">
        <f>COUNTA($B$2:B144)/175</f>
        <v>0.81714285714285717</v>
      </c>
    </row>
    <row r="145" spans="2:12" ht="15.75" customHeight="1" x14ac:dyDescent="0.25">
      <c r="B145">
        <v>144</v>
      </c>
      <c r="K145" s="5"/>
      <c r="L145" s="8">
        <f>COUNTA($B$2:B145)/175</f>
        <v>0.82285714285714284</v>
      </c>
    </row>
    <row r="146" spans="2:12" ht="15.75" customHeight="1" x14ac:dyDescent="0.25">
      <c r="B146">
        <v>145</v>
      </c>
      <c r="K146" s="5"/>
      <c r="L146" s="8">
        <f>COUNTA($B$2:B146)/175</f>
        <v>0.82857142857142863</v>
      </c>
    </row>
    <row r="147" spans="2:12" ht="15.75" customHeight="1" x14ac:dyDescent="0.25">
      <c r="B147">
        <v>146</v>
      </c>
      <c r="K147" s="5"/>
      <c r="L147" s="8">
        <f>COUNTA($B$2:B147)/175</f>
        <v>0.8342857142857143</v>
      </c>
    </row>
    <row r="148" spans="2:12" ht="15.75" customHeight="1" x14ac:dyDescent="0.25">
      <c r="B148">
        <v>147</v>
      </c>
      <c r="K148" s="5"/>
      <c r="L148" s="8">
        <f>COUNTA($B$2:B148)/175</f>
        <v>0.84</v>
      </c>
    </row>
    <row r="149" spans="2:12" ht="15.75" customHeight="1" x14ac:dyDescent="0.25">
      <c r="B149">
        <v>148</v>
      </c>
      <c r="K149" s="5"/>
      <c r="L149" s="8">
        <f>COUNTA($B$2:B149)/175</f>
        <v>0.84571428571428575</v>
      </c>
    </row>
    <row r="150" spans="2:12" ht="15.75" customHeight="1" x14ac:dyDescent="0.25">
      <c r="B150">
        <v>149</v>
      </c>
      <c r="K150" s="5"/>
      <c r="L150" s="8">
        <f>COUNTA($B$2:B150)/175</f>
        <v>0.85142857142857142</v>
      </c>
    </row>
    <row r="151" spans="2:12" ht="15.75" customHeight="1" x14ac:dyDescent="0.25">
      <c r="B151">
        <v>150</v>
      </c>
      <c r="K151" s="5"/>
      <c r="L151" s="8">
        <f>COUNTA($B$2:B151)/175</f>
        <v>0.8571428571428571</v>
      </c>
    </row>
    <row r="152" spans="2:12" ht="15.75" customHeight="1" x14ac:dyDescent="0.25">
      <c r="B152">
        <v>151</v>
      </c>
      <c r="K152" s="5"/>
      <c r="L152" s="8">
        <f>COUNTA($B$2:B152)/175</f>
        <v>0.86285714285714288</v>
      </c>
    </row>
    <row r="153" spans="2:12" ht="15.75" customHeight="1" x14ac:dyDescent="0.25">
      <c r="B153">
        <v>152</v>
      </c>
      <c r="K153" s="5"/>
      <c r="L153" s="8">
        <f>COUNTA($B$2:B153)/175</f>
        <v>0.86857142857142855</v>
      </c>
    </row>
    <row r="154" spans="2:12" ht="15.75" customHeight="1" x14ac:dyDescent="0.25">
      <c r="B154">
        <v>153</v>
      </c>
      <c r="K154" s="5"/>
      <c r="L154" s="8">
        <f>COUNTA($B$2:B154)/175</f>
        <v>0.87428571428571433</v>
      </c>
    </row>
    <row r="155" spans="2:12" ht="15.75" customHeight="1" x14ac:dyDescent="0.25">
      <c r="B155">
        <v>154</v>
      </c>
      <c r="K155" s="5"/>
      <c r="L155" s="8">
        <f>COUNTA($B$2:B155)/175</f>
        <v>0.88</v>
      </c>
    </row>
    <row r="156" spans="2:12" ht="15.75" customHeight="1" x14ac:dyDescent="0.25">
      <c r="B156">
        <v>155</v>
      </c>
      <c r="K156" s="5"/>
      <c r="L156" s="8">
        <f>COUNTA($B$2:B156)/175</f>
        <v>0.88571428571428568</v>
      </c>
    </row>
    <row r="157" spans="2:12" ht="15.75" customHeight="1" x14ac:dyDescent="0.25">
      <c r="B157">
        <v>156</v>
      </c>
      <c r="K157" s="5"/>
      <c r="L157" s="8">
        <f>COUNTA($B$2:B157)/175</f>
        <v>0.89142857142857146</v>
      </c>
    </row>
    <row r="158" spans="2:12" ht="15.75" customHeight="1" x14ac:dyDescent="0.25">
      <c r="B158">
        <v>157</v>
      </c>
      <c r="K158" s="5"/>
      <c r="L158" s="8">
        <f>COUNTA($B$2:B158)/175</f>
        <v>0.89714285714285713</v>
      </c>
    </row>
    <row r="159" spans="2:12" ht="15.75" customHeight="1" x14ac:dyDescent="0.25">
      <c r="B159">
        <v>158</v>
      </c>
      <c r="K159" s="5"/>
      <c r="L159" s="8">
        <f>COUNTA($B$2:B159)/175</f>
        <v>0.9028571428571428</v>
      </c>
    </row>
    <row r="160" spans="2:12" ht="15.75" customHeight="1" x14ac:dyDescent="0.25">
      <c r="B160">
        <v>159</v>
      </c>
      <c r="K160" s="5"/>
      <c r="L160" s="8">
        <f>COUNTA($B$2:B160)/175</f>
        <v>0.90857142857142859</v>
      </c>
    </row>
    <row r="161" spans="2:12" ht="15.75" customHeight="1" x14ac:dyDescent="0.25">
      <c r="B161">
        <v>160</v>
      </c>
      <c r="K161" s="5"/>
      <c r="L161" s="8">
        <f>COUNTA($B$2:B161)/175</f>
        <v>0.91428571428571426</v>
      </c>
    </row>
    <row r="162" spans="2:12" ht="15.75" customHeight="1" x14ac:dyDescent="0.25">
      <c r="B162">
        <v>161</v>
      </c>
      <c r="K162" s="5"/>
      <c r="L162" s="8">
        <f>COUNTA($B$2:B162)/175</f>
        <v>0.92</v>
      </c>
    </row>
    <row r="163" spans="2:12" ht="15.75" customHeight="1" x14ac:dyDescent="0.25">
      <c r="B163">
        <v>162</v>
      </c>
      <c r="K163" s="5"/>
      <c r="L163" s="8">
        <f>COUNTA($B$2:B163)/175</f>
        <v>0.92571428571428571</v>
      </c>
    </row>
    <row r="164" spans="2:12" ht="15.75" customHeight="1" x14ac:dyDescent="0.25">
      <c r="B164">
        <v>163</v>
      </c>
      <c r="K164" s="5"/>
      <c r="L164" s="8">
        <f>COUNTA($B$2:B164)/175</f>
        <v>0.93142857142857138</v>
      </c>
    </row>
    <row r="165" spans="2:12" ht="15.75" customHeight="1" x14ac:dyDescent="0.25">
      <c r="B165">
        <v>164</v>
      </c>
      <c r="K165" s="5"/>
      <c r="L165" s="8">
        <f>COUNTA($B$2:B165)/175</f>
        <v>0.93714285714285717</v>
      </c>
    </row>
    <row r="166" spans="2:12" ht="15.75" customHeight="1" x14ac:dyDescent="0.25">
      <c r="B166">
        <v>165</v>
      </c>
      <c r="K166" s="5"/>
      <c r="L166" s="8">
        <f>COUNTA($B$2:B166)/175</f>
        <v>0.94285714285714284</v>
      </c>
    </row>
    <row r="167" spans="2:12" ht="15.75" customHeight="1" x14ac:dyDescent="0.25">
      <c r="B167">
        <v>166</v>
      </c>
      <c r="K167" s="5"/>
      <c r="L167" s="8">
        <f>COUNTA($B$2:B167)/175</f>
        <v>0.94857142857142862</v>
      </c>
    </row>
    <row r="168" spans="2:12" ht="15.75" customHeight="1" x14ac:dyDescent="0.25">
      <c r="B168">
        <v>167</v>
      </c>
      <c r="K168" s="5"/>
      <c r="L168" s="8">
        <f>COUNTA($B$2:B168)/175</f>
        <v>0.95428571428571429</v>
      </c>
    </row>
    <row r="169" spans="2:12" ht="15.75" customHeight="1" x14ac:dyDescent="0.25">
      <c r="B169">
        <v>168</v>
      </c>
      <c r="K169" s="5"/>
      <c r="L169" s="8">
        <f>COUNTA($B$2:B169)/175</f>
        <v>0.96</v>
      </c>
    </row>
    <row r="170" spans="2:12" ht="15.75" customHeight="1" x14ac:dyDescent="0.25">
      <c r="B170">
        <v>169</v>
      </c>
      <c r="K170" s="5"/>
      <c r="L170" s="8">
        <f>COUNTA($B$2:B170)/175</f>
        <v>0.96571428571428575</v>
      </c>
    </row>
    <row r="171" spans="2:12" ht="15.75" customHeight="1" x14ac:dyDescent="0.25">
      <c r="B171">
        <v>170</v>
      </c>
      <c r="K171" s="5"/>
      <c r="L171" s="8">
        <f>COUNTA($B$2:B171)/175</f>
        <v>0.97142857142857142</v>
      </c>
    </row>
    <row r="172" spans="2:12" ht="15.75" customHeight="1" x14ac:dyDescent="0.25">
      <c r="B172">
        <v>171</v>
      </c>
      <c r="K172" s="5"/>
      <c r="L172" s="8">
        <f>COUNTA($B$2:B172)/175</f>
        <v>0.97714285714285709</v>
      </c>
    </row>
    <row r="173" spans="2:12" ht="15.75" customHeight="1" x14ac:dyDescent="0.25">
      <c r="B173">
        <v>172</v>
      </c>
      <c r="K173" s="5"/>
      <c r="L173" s="8">
        <f>COUNTA($B$2:B173)/175</f>
        <v>0.98285714285714287</v>
      </c>
    </row>
    <row r="174" spans="2:12" ht="15.75" customHeight="1" x14ac:dyDescent="0.25">
      <c r="B174">
        <v>173</v>
      </c>
      <c r="K174" s="5"/>
      <c r="L174" s="8">
        <f>COUNTA($B$2:B174)/175</f>
        <v>0.98857142857142855</v>
      </c>
    </row>
    <row r="175" spans="2:12" ht="15.75" customHeight="1" x14ac:dyDescent="0.25">
      <c r="B175">
        <v>174</v>
      </c>
      <c r="K175" s="5"/>
      <c r="L175" s="8">
        <f>COUNTA($B$2:B175)/175</f>
        <v>0.99428571428571433</v>
      </c>
    </row>
    <row r="176" spans="2:12" ht="15.75" customHeight="1" x14ac:dyDescent="0.3">
      <c r="B176">
        <v>175</v>
      </c>
      <c r="K176" s="5"/>
      <c r="L176" s="10">
        <f>COUNTA($B$2:B176)/175</f>
        <v>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DF19-FD3D-41AC-B187-43DEDFD2533C}">
  <dimension ref="C7:K15"/>
  <sheetViews>
    <sheetView workbookViewId="0">
      <selection activeCell="D15" sqref="D15"/>
    </sheetView>
  </sheetViews>
  <sheetFormatPr defaultRowHeight="12.5" x14ac:dyDescent="0.25"/>
  <sheetData>
    <row r="7" spans="3:11" x14ac:dyDescent="0.25">
      <c r="G7" s="16">
        <v>0.24</v>
      </c>
      <c r="H7">
        <f>I7*G7</f>
        <v>42</v>
      </c>
      <c r="I7">
        <v>175</v>
      </c>
      <c r="J7">
        <f>I7-H7</f>
        <v>133</v>
      </c>
      <c r="K7">
        <f>J7/I7*100%</f>
        <v>0.76</v>
      </c>
    </row>
    <row r="13" spans="3:11" ht="13" x14ac:dyDescent="0.3">
      <c r="C13" s="19" t="s">
        <v>761</v>
      </c>
    </row>
    <row r="14" spans="3:11" x14ac:dyDescent="0.25">
      <c r="D14" s="35" t="s">
        <v>684</v>
      </c>
    </row>
    <row r="15" spans="3:11" x14ac:dyDescent="0.25">
      <c r="D15" s="35" t="s">
        <v>760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2CB5-686D-49A4-85B3-C37F8E51F26C}">
  <dimension ref="B2:L32"/>
  <sheetViews>
    <sheetView workbookViewId="0">
      <selection activeCell="B33" sqref="B33"/>
    </sheetView>
  </sheetViews>
  <sheetFormatPr defaultRowHeight="12.5" x14ac:dyDescent="0.25"/>
  <cols>
    <col min="2" max="2" width="26.81640625" customWidth="1"/>
    <col min="11" max="11" width="36.81640625" customWidth="1"/>
    <col min="12" max="12" width="79.54296875" customWidth="1"/>
  </cols>
  <sheetData>
    <row r="2" spans="2:12" ht="13" x14ac:dyDescent="0.3">
      <c r="J2" s="19" t="s">
        <v>551</v>
      </c>
    </row>
    <row r="3" spans="2:12" x14ac:dyDescent="0.25">
      <c r="B3" s="4" t="s">
        <v>157</v>
      </c>
      <c r="C3" s="4" t="s">
        <v>159</v>
      </c>
      <c r="K3" s="20" t="s">
        <v>543</v>
      </c>
      <c r="L3" s="20" t="s">
        <v>544</v>
      </c>
    </row>
    <row r="4" spans="2:12" x14ac:dyDescent="0.25">
      <c r="B4" s="4" t="s">
        <v>158</v>
      </c>
      <c r="C4" s="4" t="s">
        <v>160</v>
      </c>
      <c r="K4" s="21" t="s">
        <v>552</v>
      </c>
      <c r="L4" s="21" t="s">
        <v>545</v>
      </c>
    </row>
    <row r="5" spans="2:12" ht="25" x14ac:dyDescent="0.25">
      <c r="K5" s="21" t="s">
        <v>553</v>
      </c>
      <c r="L5" s="21" t="s">
        <v>546</v>
      </c>
    </row>
    <row r="6" spans="2:12" ht="25" x14ac:dyDescent="0.25">
      <c r="B6" t="s">
        <v>439</v>
      </c>
      <c r="K6" s="21" t="s">
        <v>554</v>
      </c>
      <c r="L6" s="21" t="s">
        <v>547</v>
      </c>
    </row>
    <row r="7" spans="2:12" x14ac:dyDescent="0.25">
      <c r="K7" s="21" t="s">
        <v>555</v>
      </c>
      <c r="L7" s="21" t="s">
        <v>548</v>
      </c>
    </row>
    <row r="8" spans="2:12" x14ac:dyDescent="0.25">
      <c r="K8" s="21" t="s">
        <v>556</v>
      </c>
      <c r="L8" s="21" t="s">
        <v>549</v>
      </c>
    </row>
    <row r="9" spans="2:12" ht="25" x14ac:dyDescent="0.25">
      <c r="K9" s="21" t="s">
        <v>557</v>
      </c>
      <c r="L9" s="21" t="s">
        <v>550</v>
      </c>
    </row>
    <row r="12" spans="2:12" x14ac:dyDescent="0.25">
      <c r="B12" s="11" t="s">
        <v>558</v>
      </c>
      <c r="C12" s="4"/>
      <c r="K12" s="21" t="s">
        <v>757</v>
      </c>
    </row>
    <row r="13" spans="2:12" x14ac:dyDescent="0.25">
      <c r="B13" s="4" t="s">
        <v>559</v>
      </c>
      <c r="K13" s="21" t="s">
        <v>758</v>
      </c>
      <c r="L13" s="4" t="s">
        <v>759</v>
      </c>
    </row>
    <row r="14" spans="2:12" x14ac:dyDescent="0.25">
      <c r="B14" s="4" t="s">
        <v>560</v>
      </c>
    </row>
    <row r="15" spans="2:12" x14ac:dyDescent="0.25">
      <c r="B15" s="4" t="s">
        <v>561</v>
      </c>
      <c r="C15" s="4" t="s">
        <v>562</v>
      </c>
    </row>
    <row r="18" spans="2:4" ht="13" x14ac:dyDescent="0.3">
      <c r="B18" s="19" t="s">
        <v>707</v>
      </c>
    </row>
    <row r="19" spans="2:4" x14ac:dyDescent="0.25">
      <c r="B19" t="s">
        <v>704</v>
      </c>
      <c r="C19" s="33" t="s">
        <v>705</v>
      </c>
    </row>
    <row r="20" spans="2:4" x14ac:dyDescent="0.25">
      <c r="B20" t="s">
        <v>703</v>
      </c>
      <c r="C20" s="33" t="s">
        <v>706</v>
      </c>
    </row>
    <row r="23" spans="2:4" x14ac:dyDescent="0.25">
      <c r="B23" t="s">
        <v>709</v>
      </c>
      <c r="C23" s="4" t="s">
        <v>710</v>
      </c>
      <c r="D23" s="4" t="s">
        <v>711</v>
      </c>
    </row>
    <row r="25" spans="2:4" x14ac:dyDescent="0.25">
      <c r="B25" s="4" t="s">
        <v>728</v>
      </c>
    </row>
    <row r="28" spans="2:4" x14ac:dyDescent="0.25">
      <c r="B28" t="s">
        <v>849</v>
      </c>
    </row>
    <row r="29" spans="2:4" x14ac:dyDescent="0.25">
      <c r="B29" t="s">
        <v>850</v>
      </c>
    </row>
    <row r="30" spans="2:4" x14ac:dyDescent="0.25">
      <c r="B30" t="s">
        <v>851</v>
      </c>
    </row>
    <row r="31" spans="2:4" x14ac:dyDescent="0.25">
      <c r="B31" t="s">
        <v>852</v>
      </c>
    </row>
    <row r="32" spans="2:4" x14ac:dyDescent="0.25">
      <c r="B32"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PMI Infinity</vt:lpstr>
      <vt:lpstr>David PMP QA</vt:lpstr>
      <vt:lpstr>PMI Study Hall</vt:lpstr>
      <vt:lpstr>PMI Study Hall Practice Exam</vt:lpstr>
      <vt:lpstr>Sheet1</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Sally Law</dc:creator>
  <cp:lastModifiedBy>Sally Law</cp:lastModifiedBy>
  <dcterms:created xsi:type="dcterms:W3CDTF">2025-12-14T18:18:29Z</dcterms:created>
  <dcterms:modified xsi:type="dcterms:W3CDTF">2025-12-15T14:34:47Z</dcterms:modified>
</cp:coreProperties>
</file>